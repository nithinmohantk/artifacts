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space\casestudies\artifacts\casestudies\"/>
    </mc:Choice>
  </mc:AlternateContent>
  <xr:revisionPtr revIDLastSave="0" documentId="13_ncr:1_{B7F3F746-E76D-4687-9D60-CDD38CEE0682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1-Process Overview" sheetId="1" r:id="rId1"/>
    <sheet name="2-Compliance Checklist" sheetId="2" r:id="rId2"/>
    <sheet name="3-Evaluation Matrix" sheetId="3" r:id="rId3"/>
    <sheet name="4-Demo Evaluation" sheetId="4" r:id="rId4"/>
    <sheet name="5-Reference Checks" sheetId="5" r:id="rId5"/>
    <sheet name="6-BAFO Template" sheetId="6" r:id="rId6"/>
    <sheet name="7-Final Recommendation" sheetId="7" r:id="rId7"/>
    <sheet name="8-Lessons Learned" sheetId="8" r:id="rId8"/>
    <sheet name="9-Build vs Buy vs Rent" sheetId="9" r:id="rId9"/>
    <sheet name="10-Complexity Analysis" sheetId="10" r:id="rId10"/>
    <sheet name="11-SWOT Analysi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I47" i="3"/>
  <c r="G47" i="3"/>
  <c r="E47" i="3"/>
  <c r="I46" i="3"/>
  <c r="G46" i="3"/>
  <c r="E46" i="3"/>
  <c r="I45" i="3"/>
  <c r="I48" i="3" s="1"/>
  <c r="G45" i="3"/>
  <c r="G48" i="3" s="1"/>
  <c r="E45" i="3"/>
  <c r="I44" i="3"/>
  <c r="G44" i="3"/>
  <c r="E44" i="3"/>
  <c r="I42" i="3"/>
  <c r="E42" i="3"/>
  <c r="I41" i="3"/>
  <c r="G41" i="3"/>
  <c r="E41" i="3"/>
  <c r="I40" i="3"/>
  <c r="G40" i="3"/>
  <c r="E40" i="3"/>
  <c r="I39" i="3"/>
  <c r="G39" i="3"/>
  <c r="E39" i="3"/>
  <c r="I38" i="3"/>
  <c r="G38" i="3"/>
  <c r="E38" i="3"/>
  <c r="I37" i="3"/>
  <c r="G37" i="3"/>
  <c r="E37" i="3"/>
  <c r="I36" i="3"/>
  <c r="G36" i="3"/>
  <c r="G42" i="3" s="1"/>
  <c r="E36" i="3"/>
  <c r="E34" i="3"/>
  <c r="I33" i="3"/>
  <c r="G33" i="3"/>
  <c r="E33" i="3"/>
  <c r="I32" i="3"/>
  <c r="G32" i="3"/>
  <c r="E32" i="3"/>
  <c r="I31" i="3"/>
  <c r="G31" i="3"/>
  <c r="E31" i="3"/>
  <c r="I30" i="3"/>
  <c r="G30" i="3"/>
  <c r="E30" i="3"/>
  <c r="I29" i="3"/>
  <c r="G29" i="3"/>
  <c r="E29" i="3"/>
  <c r="I28" i="3"/>
  <c r="G28" i="3"/>
  <c r="E28" i="3"/>
  <c r="I27" i="3"/>
  <c r="G27" i="3"/>
  <c r="E27" i="3"/>
  <c r="I26" i="3"/>
  <c r="I34" i="3" s="1"/>
  <c r="G26" i="3"/>
  <c r="G34" i="3" s="1"/>
  <c r="E26" i="3"/>
  <c r="I23" i="3"/>
  <c r="G23" i="3"/>
  <c r="E23" i="3"/>
  <c r="I22" i="3"/>
  <c r="G22" i="3"/>
  <c r="E22" i="3"/>
  <c r="I21" i="3"/>
  <c r="G21" i="3"/>
  <c r="E21" i="3"/>
  <c r="I20" i="3"/>
  <c r="G20" i="3"/>
  <c r="E20" i="3"/>
  <c r="I19" i="3"/>
  <c r="G19" i="3"/>
  <c r="E19" i="3"/>
  <c r="I18" i="3"/>
  <c r="G18" i="3"/>
  <c r="E18" i="3"/>
  <c r="I17" i="3"/>
  <c r="G17" i="3"/>
  <c r="E17" i="3"/>
  <c r="I16" i="3"/>
  <c r="I24" i="3" s="1"/>
  <c r="G16" i="3"/>
  <c r="G24" i="3" s="1"/>
  <c r="E16" i="3"/>
  <c r="E24" i="3" s="1"/>
  <c r="I13" i="3"/>
  <c r="G13" i="3"/>
  <c r="E13" i="3"/>
  <c r="I12" i="3"/>
  <c r="G12" i="3"/>
  <c r="E12" i="3"/>
  <c r="I11" i="3"/>
  <c r="G11" i="3"/>
  <c r="E11" i="3"/>
  <c r="I10" i="3"/>
  <c r="G10" i="3"/>
  <c r="E10" i="3"/>
  <c r="I9" i="3"/>
  <c r="G9" i="3"/>
  <c r="E9" i="3"/>
  <c r="I8" i="3"/>
  <c r="G8" i="3"/>
  <c r="E8" i="3"/>
  <c r="I7" i="3"/>
  <c r="I14" i="3" s="1"/>
  <c r="G7" i="3"/>
  <c r="G14" i="3" s="1"/>
  <c r="E7" i="3"/>
  <c r="E14" i="3" s="1"/>
  <c r="E50" i="3" l="1"/>
  <c r="G50" i="3"/>
  <c r="I50" i="3"/>
  <c r="I52" i="3" l="1"/>
  <c r="I51" i="3"/>
  <c r="G52" i="3"/>
  <c r="G51" i="3"/>
  <c r="E52" i="3"/>
  <c r="E51" i="3"/>
</calcChain>
</file>

<file path=xl/sharedStrings.xml><?xml version="1.0" encoding="utf-8"?>
<sst xmlns="http://schemas.openxmlformats.org/spreadsheetml/2006/main" count="1600" uniqueCount="1001">
  <si>
    <t>VENDOR RFQ EVALUATION PROCESS FLOW</t>
  </si>
  <si>
    <t>Document Version:</t>
  </si>
  <si>
    <t>1.0</t>
  </si>
  <si>
    <t>Created Date:</t>
  </si>
  <si>
    <t>2025-11-30</t>
  </si>
  <si>
    <t>Use Case:</t>
  </si>
  <si>
    <t>HL7/FHIR Integration Platform Selection</t>
  </si>
  <si>
    <t>Expected Duration:</t>
  </si>
  <si>
    <t>3-5 Months</t>
  </si>
  <si>
    <t>PHASE</t>
  </si>
  <si>
    <t>STAGE</t>
  </si>
  <si>
    <t>ACTIVITY</t>
  </si>
  <si>
    <t>KEY ACTIONS</t>
  </si>
  <si>
    <t>DECISION GATE</t>
  </si>
  <si>
    <t>DURATION</t>
  </si>
  <si>
    <t>DELIVERABLE</t>
  </si>
  <si>
    <t>Phase 1:
Initial Screening</t>
  </si>
  <si>
    <t>A</t>
  </si>
  <si>
    <t>Receive RFQ Responses</t>
  </si>
  <si>
    <t>Collect all vendor proposals by deadline</t>
  </si>
  <si>
    <t>1 week</t>
  </si>
  <si>
    <t>Response Repository</t>
  </si>
  <si>
    <t>B</t>
  </si>
  <si>
    <t>Initial Compliance Check</t>
  </si>
  <si>
    <t>Verify mandatory documents, format, completeness</t>
  </si>
  <si>
    <t>C: Meets Minimum Requirements?</t>
  </si>
  <si>
    <t>Compliance Matrix</t>
  </si>
  <si>
    <t>D</t>
  </si>
  <si>
    <t>Reject with Feedback</t>
  </si>
  <si>
    <t>Provide rejection rationale to non-compliant vendors</t>
  </si>
  <si>
    <t>Rejection Letters</t>
  </si>
  <si>
    <t>Phase 2:
Detailed Evaluation</t>
  </si>
  <si>
    <t>E</t>
  </si>
  <si>
    <t>Detailed Technical Evaluation</t>
  </si>
  <si>
    <t>Conduct parallel deep-dive analysis across 4 tracks</t>
  </si>
  <si>
    <t>2-3 weeks</t>
  </si>
  <si>
    <t>F</t>
  </si>
  <si>
    <t>Functional Requirements Scoring</t>
  </si>
  <si>
    <t>HL7 v2, FHIR R4, transformations, connectors, pre-built integrations</t>
  </si>
  <si>
    <t>Functional Scorecard</t>
  </si>
  <si>
    <t>G</t>
  </si>
  <si>
    <t>Technical Capability Assessment</t>
  </si>
  <si>
    <t>Architecture, scalability, API management, DevOps, monitoring</t>
  </si>
  <si>
    <t>Technical Scorecard</t>
  </si>
  <si>
    <t>H</t>
  </si>
  <si>
    <t>Security &amp; Compliance Review</t>
  </si>
  <si>
    <t>HIPAA, OAuth, encryption, audit logs, certifications (SOC 2, HITRUST)</t>
  </si>
  <si>
    <t>Security Scorecard</t>
  </si>
  <si>
    <t>I</t>
  </si>
  <si>
    <t>Commercial Terms Analysis</t>
  </si>
  <si>
    <t>TCO (3-5 years), licensing model, hidden costs, contract flexibility</t>
  </si>
  <si>
    <t>Cost Analysis</t>
  </si>
  <si>
    <t>Phase 3:
Synthesis</t>
  </si>
  <si>
    <t>J</t>
  </si>
  <si>
    <t>Create Evaluation Matrix</t>
  </si>
  <si>
    <t>Weighted scoring: Functional (35%), Technical (30%), Security (20%), Viability (10%), Commercial (5%)</t>
  </si>
  <si>
    <t>Weighted Scoring Matrix</t>
  </si>
  <si>
    <t>K</t>
  </si>
  <si>
    <t>Shortlist Top 3-5 Vendors</t>
  </si>
  <si>
    <t>Rank by total weighted score, select finalists</t>
  </si>
  <si>
    <t>Select 3-5 vendors?</t>
  </si>
  <si>
    <t>Shortlist Report</t>
  </si>
  <si>
    <t>Phase 4:
Deep Validation</t>
  </si>
  <si>
    <t>L</t>
  </si>
  <si>
    <t>Request Clarifications/Demos</t>
  </si>
  <si>
    <t>Send specific questions, schedule demonstrations</t>
  </si>
  <si>
    <t>Clarification Questions</t>
  </si>
  <si>
    <t>M</t>
  </si>
  <si>
    <t>Live Technical Demo</t>
  </si>
  <si>
    <t>Hands-on demo with actual data, technical Q&amp;A (2-3 hours each)</t>
  </si>
  <si>
    <t>1-2 weeks</t>
  </si>
  <si>
    <t>Demo Evaluation Notes</t>
  </si>
  <si>
    <t>N</t>
  </si>
  <si>
    <t>Reference Checks</t>
  </si>
  <si>
    <t>Contact 3+ customers per vendor, verify claims</t>
  </si>
  <si>
    <t>Reference Check Report</t>
  </si>
  <si>
    <t>O</t>
  </si>
  <si>
    <t>Site Visits (Optional)</t>
  </si>
  <si>
    <t>Visit customer sites to observe production usage</t>
  </si>
  <si>
    <t>Site Visit Report</t>
  </si>
  <si>
    <t>Phase 5:
Final Decision</t>
  </si>
  <si>
    <t>P</t>
  </si>
  <si>
    <t>Final Scoring &amp; Ranking</t>
  </si>
  <si>
    <t>Update matrix with demo/reference insights</t>
  </si>
  <si>
    <t>Q: Clear Winner?</t>
  </si>
  <si>
    <t>Updated Scoring Matrix</t>
  </si>
  <si>
    <t>R</t>
  </si>
  <si>
    <t>Prepare Recommendation Report</t>
  </si>
  <si>
    <t>Executive summary, scoring, risks, timeline, budget</t>
  </si>
  <si>
    <t>If YES</t>
  </si>
  <si>
    <t>Executive Recommendation</t>
  </si>
  <si>
    <t>S</t>
  </si>
  <si>
    <t>BAFO (Best and Final Offer)</t>
  </si>
  <si>
    <t>Request improved pricing/terms from top 2-3 vendors</t>
  </si>
  <si>
    <t>If NO</t>
  </si>
  <si>
    <t>BAFO Requests</t>
  </si>
  <si>
    <t>Loop back to P</t>
  </si>
  <si>
    <t>Re-score with BAFO information</t>
  </si>
  <si>
    <t>Phase 6:
Approval &amp; Contract</t>
  </si>
  <si>
    <t>T</t>
  </si>
  <si>
    <t>Stakeholder Review</t>
  </si>
  <si>
    <t>Present to IT, clinical, security, compliance, finance teams</t>
  </si>
  <si>
    <t>Stakeholder Sign-off</t>
  </si>
  <si>
    <t>U</t>
  </si>
  <si>
    <t>Executive Approval</t>
  </si>
  <si>
    <t>Present business case to CIO/CFO/CEO</t>
  </si>
  <si>
    <t>V</t>
  </si>
  <si>
    <t>Contract Negotiation</t>
  </si>
  <si>
    <t>Finalize SLAs, payment terms, IP, liability, exit provisions</t>
  </si>
  <si>
    <t>4-8 weeks</t>
  </si>
  <si>
    <t>Signed Contract</t>
  </si>
  <si>
    <t>W</t>
  </si>
  <si>
    <t>Vendor Selection Complete</t>
  </si>
  <si>
    <t>Transition to implementation phase</t>
  </si>
  <si>
    <t>Project Kickoff</t>
  </si>
  <si>
    <t>PHASE 1: INITIAL COMPLIANCE CHECK</t>
  </si>
  <si>
    <t>Instructions: Mark 'Yes', 'No', or 'N/A' for each vendor. Vendors must have 100% 'Yes' on mandatory items to proceed.</t>
  </si>
  <si>
    <t>Compliance Item</t>
  </si>
  <si>
    <t>Mandatory?</t>
  </si>
  <si>
    <t>Weight</t>
  </si>
  <si>
    <t>Vendor 1</t>
  </si>
  <si>
    <t>Vendor 2</t>
  </si>
  <si>
    <t>Vendor 3</t>
  </si>
  <si>
    <t>Notes</t>
  </si>
  <si>
    <t>Verification Method</t>
  </si>
  <si>
    <t>SUBMISSION REQUIREMENTS</t>
  </si>
  <si>
    <t>Submitted by deadline</t>
  </si>
  <si>
    <t>Yes</t>
  </si>
  <si>
    <t>10%</t>
  </si>
  <si>
    <t>RFQ receipt timestamp</t>
  </si>
  <si>
    <t>Response in required format (PDF/Word)</t>
  </si>
  <si>
    <t>5%</t>
  </si>
  <si>
    <t>File format check</t>
  </si>
  <si>
    <t>All sections completed</t>
  </si>
  <si>
    <t>Document review</t>
  </si>
  <si>
    <t>Executive summary included</t>
  </si>
  <si>
    <t>No</t>
  </si>
  <si>
    <t>3%</t>
  </si>
  <si>
    <t>Authorized signatory signature</t>
  </si>
  <si>
    <t>Signature verification</t>
  </si>
  <si>
    <t>DOCUMENTATION</t>
  </si>
  <si>
    <t>Company profile and overview</t>
  </si>
  <si>
    <t>Document check</t>
  </si>
  <si>
    <t>Pricing sheet completed</t>
  </si>
  <si>
    <t>Pricing review</t>
  </si>
  <si>
    <t>Technical architecture diagram</t>
  </si>
  <si>
    <t>8%</t>
  </si>
  <si>
    <t>Implementation methodology</t>
  </si>
  <si>
    <t>Support and SLA documentation</t>
  </si>
  <si>
    <t>7%</t>
  </si>
  <si>
    <t>CERTIFICATIONS &amp; COMPLIANCE</t>
  </si>
  <si>
    <t>HIPAA compliance certification</t>
  </si>
  <si>
    <t>15%</t>
  </si>
  <si>
    <t>Certificate verification</t>
  </si>
  <si>
    <t>SOC 2 Type II certification</t>
  </si>
  <si>
    <t>HITRUST certification</t>
  </si>
  <si>
    <t>ISO 27001 certification</t>
  </si>
  <si>
    <t>LEGAL &amp; COMMERCIAL</t>
  </si>
  <si>
    <t>NDA signed and returned</t>
  </si>
  <si>
    <t>Legal verification</t>
  </si>
  <si>
    <t>Insurance certificates (E&amp;O, Cyber)</t>
  </si>
  <si>
    <t>Insurance verification</t>
  </si>
  <si>
    <t>Financial statements (last 2 years)</t>
  </si>
  <si>
    <t>Financial review</t>
  </si>
  <si>
    <t>Customer references provided (min 3)</t>
  </si>
  <si>
    <t>Reference list check</t>
  </si>
  <si>
    <t>TECHNICAL REQUIREMENTS</t>
  </si>
  <si>
    <t>HL7 v2 support confirmed</t>
  </si>
  <si>
    <t>Technical spec review</t>
  </si>
  <si>
    <t>FHIR R4 support confirmed</t>
  </si>
  <si>
    <t>Cloud deployment option available</t>
  </si>
  <si>
    <t>API documentation provided</t>
  </si>
  <si>
    <t>PASS/FAIL DECISION</t>
  </si>
  <si>
    <t>Enter: PASS or FAIL</t>
  </si>
  <si>
    <t>PHASE 2: DETAILED EVALUATION MATRIX - WEIGHTED SCORING</t>
  </si>
  <si>
    <t>Vendor Names:</t>
  </si>
  <si>
    <t>Mirth Connect (Build)</t>
  </si>
  <si>
    <t>InterSystems HealthShare</t>
  </si>
  <si>
    <t>Rhapsody Integration</t>
  </si>
  <si>
    <t>Requirement Category</t>
  </si>
  <si>
    <t>Max Score</t>
  </si>
  <si>
    <t>V1 Score</t>
  </si>
  <si>
    <t>V1 Weighted</t>
  </si>
  <si>
    <t>V2 Score</t>
  </si>
  <si>
    <t>V2 Weighted</t>
  </si>
  <si>
    <t>V3 Score</t>
  </si>
  <si>
    <t>V3 Weighted</t>
  </si>
  <si>
    <t>FUNCTIONAL REQUIREMENTS (35%)</t>
  </si>
  <si>
    <t>HL7 v2 Message Support</t>
  </si>
  <si>
    <t>6%</t>
  </si>
  <si>
    <t>10</t>
  </si>
  <si>
    <t>9</t>
  </si>
  <si>
    <t>8</t>
  </si>
  <si>
    <t>Mirth:Excellent; ISC:Strong; Rhapsody:Excellent</t>
  </si>
  <si>
    <t>FHIR R4 Implementation</t>
  </si>
  <si>
    <t>7</t>
  </si>
  <si>
    <t>ISC leads in FHIR maturity</t>
  </si>
  <si>
    <t>Message Transformation &amp; Mapping</t>
  </si>
  <si>
    <t>ISC has visual mapper advantage</t>
  </si>
  <si>
    <t>Data Validation &amp; Quality</t>
  </si>
  <si>
    <t>All adequate, Mirth needs custom code</t>
  </si>
  <si>
    <t>Error Handling &amp; Recovery</t>
  </si>
  <si>
    <t>ISC has enterprise-grade handling</t>
  </si>
  <si>
    <t>Routing &amp; Orchestration</t>
  </si>
  <si>
    <t>ISC BPL engine is superior</t>
  </si>
  <si>
    <t>Pre-built Connectors</t>
  </si>
  <si>
    <t>6</t>
  </si>
  <si>
    <t>Mirth requires custom development</t>
  </si>
  <si>
    <t>Subtotal - Functional</t>
  </si>
  <si>
    <t>TECHNICAL CAPABILITIES (30%)</t>
  </si>
  <si>
    <t>System Architecture</t>
  </si>
  <si>
    <t>5</t>
  </si>
  <si>
    <t>4</t>
  </si>
  <si>
    <t>ISC is mature enterprise architecture</t>
  </si>
  <si>
    <t>Performance &amp; Throughput</t>
  </si>
  <si>
    <t>All handle 100K+ msgs/day</t>
  </si>
  <si>
    <t>API Management</t>
  </si>
  <si>
    <t>4%</t>
  </si>
  <si>
    <t>3</t>
  </si>
  <si>
    <t>ISC has comprehensive API gateway</t>
  </si>
  <si>
    <t>Integration Patterns</t>
  </si>
  <si>
    <t>ISC supports all enterprise patterns</t>
  </si>
  <si>
    <t>Monitoring &amp; Observability</t>
  </si>
  <si>
    <t>Mirth needs add-ons for monitoring</t>
  </si>
  <si>
    <t>DevOps &amp; CI/CD Support</t>
  </si>
  <si>
    <t>Mirth has best Docker support</t>
  </si>
  <si>
    <t>Data Storage Options</t>
  </si>
  <si>
    <t>ISC has native data persistence</t>
  </si>
  <si>
    <t>Standards Compliance</t>
  </si>
  <si>
    <t>2%</t>
  </si>
  <si>
    <t>All are standards compliant</t>
  </si>
  <si>
    <t>Subtotal - Technical</t>
  </si>
  <si>
    <t>SECURITY &amp; COMPLIANCE (20%)</t>
  </si>
  <si>
    <t>Authentication &amp; Authorization</t>
  </si>
  <si>
    <t>ISC has enterprise RBAC</t>
  </si>
  <si>
    <t>Encryption &amp; Data Protection</t>
  </si>
  <si>
    <t>All support TLS 1.3</t>
  </si>
  <si>
    <t>Audit &amp; Compliance Logging</t>
  </si>
  <si>
    <t>ISC has comprehensive auditing</t>
  </si>
  <si>
    <t>Regulatory Certifications</t>
  </si>
  <si>
    <t>2</t>
  </si>
  <si>
    <t>Mirth lacks certifications (open source)</t>
  </si>
  <si>
    <t>Vulnerability Management</t>
  </si>
  <si>
    <t>Commercial vendors have better processes</t>
  </si>
  <si>
    <t>Consent Management</t>
  </si>
  <si>
    <t>ISC has built-in consent framework</t>
  </si>
  <si>
    <t>Data Privacy Controls</t>
  </si>
  <si>
    <t>ISC has GDPR-ready features</t>
  </si>
  <si>
    <t>Network Security</t>
  </si>
  <si>
    <t>All support VPN, firewall rules</t>
  </si>
  <si>
    <t>Subtotal - Security</t>
  </si>
  <si>
    <t>VENDOR VIABILITY (10%)</t>
  </si>
  <si>
    <t>Financial Stability</t>
  </si>
  <si>
    <t>Open source vs established companies</t>
  </si>
  <si>
    <t>Market Presence &amp; Track Record</t>
  </si>
  <si>
    <t>ISC: 40+ years; Rhapsody: 25+ years</t>
  </si>
  <si>
    <t>Healthcare Experience</t>
  </si>
  <si>
    <t>All have strong healthcare presence</t>
  </si>
  <si>
    <t>Support &amp; SLA Guarantees</t>
  </si>
  <si>
    <t>1</t>
  </si>
  <si>
    <t>Mirth: community; Others: 24/7 support</t>
  </si>
  <si>
    <t>Training &amp; Documentation</t>
  </si>
  <si>
    <t>1%</t>
  </si>
  <si>
    <t>Commercial vendors have better training</t>
  </si>
  <si>
    <t>Implementation Services</t>
  </si>
  <si>
    <t>Mirth: DIY; Others: full services</t>
  </si>
  <si>
    <t>Subtotal - Viability</t>
  </si>
  <si>
    <t>COMMERCIAL TERMS (5%)</t>
  </si>
  <si>
    <t>Pricing Model Transparency</t>
  </si>
  <si>
    <t>1.5%</t>
  </si>
  <si>
    <t>Mirth: Free OSS; Others: complex licensing</t>
  </si>
  <si>
    <t>Total Cost of Ownership (5yr)</t>
  </si>
  <si>
    <t>Mirth: $500K; ISC: $2.5M; Rhapsody: $1.8M</t>
  </si>
  <si>
    <t>Contract Flexibility</t>
  </si>
  <si>
    <t>Mirth: No lock-in; ISC: rigid terms</t>
  </si>
  <si>
    <t>Value for Money</t>
  </si>
  <si>
    <t>Depends on internal capabilities</t>
  </si>
  <si>
    <t>Subtotal - Commercial</t>
  </si>
  <si>
    <t>TOTAL WEIGHTED SCORE (out of 100)</t>
  </si>
  <si>
    <t>RATING</t>
  </si>
  <si>
    <t>RECOMMENDATION</t>
  </si>
  <si>
    <t>PHASE 4: LIVE TECHNICAL DEMO EVALUATION</t>
  </si>
  <si>
    <t>Demo Date:</t>
  </si>
  <si>
    <t>Attendees:</t>
  </si>
  <si>
    <t>Duration:</t>
  </si>
  <si>
    <t>2-3 hours</t>
  </si>
  <si>
    <t>Presenter:</t>
  </si>
  <si>
    <t>Demo Scenario</t>
  </si>
  <si>
    <t>Evaluation Criteria</t>
  </si>
  <si>
    <t>V1 Score (1-5)</t>
  </si>
  <si>
    <t>V2 Score (1-5)</t>
  </si>
  <si>
    <t>V3 Score (1-5)</t>
  </si>
  <si>
    <t>V1 Notes</t>
  </si>
  <si>
    <t>V2 Notes</t>
  </si>
  <si>
    <t>V3 Notes</t>
  </si>
  <si>
    <t>1. HL7 Message Processing</t>
  </si>
  <si>
    <t>Receive ADT^A01 message</t>
  </si>
  <si>
    <t>Parse and validate message</t>
  </si>
  <si>
    <t>Handle custom Z-segments</t>
  </si>
  <si>
    <t>Send ACK/NAK response</t>
  </si>
  <si>
    <t>2. FHIR Resource Operations</t>
  </si>
  <si>
    <t>Create Patient resource</t>
  </si>
  <si>
    <t>Search with complex queries</t>
  </si>
  <si>
    <t>Bulk export demonstration</t>
  </si>
  <si>
    <t>SMART on FHIR authorization</t>
  </si>
  <si>
    <t>3. Transformation &amp; Mapping</t>
  </si>
  <si>
    <t>HL7 ADT → FHIR Patient</t>
  </si>
  <si>
    <t>HL7 ORU → FHIR Observation</t>
  </si>
  <si>
    <t>Custom field mapping</t>
  </si>
  <si>
    <t>4. Error Handling</t>
  </si>
  <si>
    <t>Handle malformed message</t>
  </si>
  <si>
    <t>Demonstrate retry logic</t>
  </si>
  <si>
    <t>Show error logging/alerting</t>
  </si>
  <si>
    <t>5. Performance &amp; Monitoring</t>
  </si>
  <si>
    <t>Show real-time dashboard</t>
  </si>
  <si>
    <t>Demonstrate load handling</t>
  </si>
  <si>
    <t>Tracing &amp; debugging tools</t>
  </si>
  <si>
    <t>RED FLAGS OBSERVED</t>
  </si>
  <si>
    <t>Cannot demo live system</t>
  </si>
  <si>
    <t>Critical</t>
  </si>
  <si>
    <t>Requires significant custom code</t>
  </si>
  <si>
    <t>High</t>
  </si>
  <si>
    <t>Poor user interface/usability</t>
  </si>
  <si>
    <t>Medium</t>
  </si>
  <si>
    <t>Slow response times</t>
  </si>
  <si>
    <t>OVERALL DEMO ASSESSMENT</t>
  </si>
  <si>
    <t>100%</t>
  </si>
  <si>
    <t>PASS/FAIL RECOMMENDATION</t>
  </si>
  <si>
    <t>PHASE 4: CUSTOMER REFERENCE CHECKS</t>
  </si>
  <si>
    <t>Instructions: Contact at least 3 customers per vendor. Mix of vendor-provided and independently sourced.</t>
  </si>
  <si>
    <t>VENDOR:</t>
  </si>
  <si>
    <t>Reference #1 Information</t>
  </si>
  <si>
    <t>Company Name:</t>
  </si>
  <si>
    <t>Contact Name:</t>
  </si>
  <si>
    <t>Title:</t>
  </si>
  <si>
    <t>Industry:</t>
  </si>
  <si>
    <t>Organization Size:</t>
  </si>
  <si>
    <t>Date of Call:</t>
  </si>
  <si>
    <t>Implementation Date:</t>
  </si>
  <si>
    <t>Contract Value:</t>
  </si>
  <si>
    <t>KEY QUESTIONS</t>
  </si>
  <si>
    <t>Rating (1-5)</t>
  </si>
  <si>
    <t>Response Summary</t>
  </si>
  <si>
    <t>Implementation Experience</t>
  </si>
  <si>
    <t>How smooth was the implementation process?</t>
  </si>
  <si>
    <t>Were there any surprises or delays?</t>
  </si>
  <si>
    <t>Did they stay within budget?</t>
  </si>
  <si>
    <t>Quality of implementation team?</t>
  </si>
  <si>
    <t>Product Performance</t>
  </si>
  <si>
    <t>Does the system meet your expectations?</t>
  </si>
  <si>
    <t>Any performance issues (speed, reliability)?</t>
  </si>
  <si>
    <t>How does it handle your peak volumes?</t>
  </si>
  <si>
    <t>System uptime vs. SLA promises?</t>
  </si>
  <si>
    <t>Support &amp; Maintenance</t>
  </si>
  <si>
    <t>Quality of technical support?</t>
  </si>
  <si>
    <t>How quickly do they respond to P1 issues?</t>
  </si>
  <si>
    <t>Are upgrades/patches smooth?</t>
  </si>
  <si>
    <t>Have you had any major outages?</t>
  </si>
  <si>
    <t>Cost &amp; ROI</t>
  </si>
  <si>
    <t>Any hidden costs or surprise fees?</t>
  </si>
  <si>
    <t>Maintenance cost increases year-over-year?</t>
  </si>
  <si>
    <t>Have you achieved expected ROI?</t>
  </si>
  <si>
    <t>Relationship &amp; Future</t>
  </si>
  <si>
    <t>How responsive is the account team?</t>
  </si>
  <si>
    <t>Do they listen to feature requests?</t>
  </si>
  <si>
    <t>Product roadmap aligned with your needs?</t>
  </si>
  <si>
    <t>Would you choose them again?</t>
  </si>
  <si>
    <t>Would you recommend them to others?</t>
  </si>
  <si>
    <t>RED FLAGS / CONCERNS</t>
  </si>
  <si>
    <t>OVERALL REFERENCE RATING</t>
  </si>
  <si>
    <t>Positive Recommendation? (Yes/No)</t>
  </si>
  <si>
    <t>PHASE 5: BEST AND FINAL OFFER (BAFO) REQUEST</t>
  </si>
  <si>
    <t>Use Case: When top 2-3 vendors are too close to differentiate, request improved terms.</t>
  </si>
  <si>
    <t>BAFO Request Letter Template</t>
  </si>
  <si>
    <t>Date:</t>
  </si>
  <si>
    <t>[Insert Date]</t>
  </si>
  <si>
    <t>To:</t>
  </si>
  <si>
    <t>[Vendor Name]</t>
  </si>
  <si>
    <t>Subject:</t>
  </si>
  <si>
    <t>Request for Best and Final Offer</t>
  </si>
  <si>
    <t>Letter Body:</t>
  </si>
  <si>
    <t>Dear [Vendor Contact],</t>
  </si>
  <si>
    <t>Thank you for your comprehensive proposal in response to our RFQ for [Project Name].</t>
  </si>
  <si>
    <t>After careful evaluation, we have shortlisted your solution along with [X] other vendors.</t>
  </si>
  <si>
    <t>To assist us in our final decision, we invite you to submit a Best and Final Offer (BAFO) by [Date].</t>
  </si>
  <si>
    <t>Please consider improving your proposal in the following areas:</t>
  </si>
  <si>
    <t>PRICING &amp; COMMERCIAL TERMS</t>
  </si>
  <si>
    <t>□ Reduce license fees or subscription costs</t>
  </si>
  <si>
    <t>□ Offer volume discounts or multi-year pricing</t>
  </si>
  <si>
    <t>□ Include additional features at no extra cost</t>
  </si>
  <si>
    <t>□ Reduce or waive implementation fees</t>
  </si>
  <si>
    <t>□ Improve payment terms (e.g., milestone-based)</t>
  </si>
  <si>
    <t>□ Cap annual maintenance increases</t>
  </si>
  <si>
    <t>ADDITIONAL VALUE-ADDS</t>
  </si>
  <si>
    <t>□ Include additional training hours</t>
  </si>
  <si>
    <t>□ Extend post-implementation support period</t>
  </si>
  <si>
    <t>□ Provide dedicated customer success manager</t>
  </si>
  <si>
    <t>□ Include additional pre-built connectors</t>
  </si>
  <si>
    <t>□ Offer priority access to new features</t>
  </si>
  <si>
    <t>IMPROVED SLAs &amp; SUPPORT</t>
  </si>
  <si>
    <t>□ Enhanced uptime guarantees (e.g., 99.9% → 99.99%)</t>
  </si>
  <si>
    <t>□ Faster response times for P1/P2 issues</t>
  </si>
  <si>
    <t>□ Include 24/7 support at base price</t>
  </si>
  <si>
    <t>IMPLEMENTATION &amp; TIMELINE</t>
  </si>
  <si>
    <t>□ Accelerated implementation timeline</t>
  </si>
  <si>
    <t>□ Additional professional services resources</t>
  </si>
  <si>
    <t>□ Fixed-price implementation guarantee</t>
  </si>
  <si>
    <t>CONTRACT TERMS</t>
  </si>
  <si>
    <t>□ More flexible termination clauses</t>
  </si>
  <si>
    <t>□ Shorter initial term commitment</t>
  </si>
  <si>
    <t>□ Better IP rights or data portability terms</t>
  </si>
  <si>
    <t>Submission Instructions:</t>
  </si>
  <si>
    <t>Please submit your BAFO by [Date] to [Email].</t>
  </si>
  <si>
    <t>Your revised proposal should include:</t>
  </si>
  <si>
    <t xml:space="preserve">  1. Updated pricing and commercial terms</t>
  </si>
  <si>
    <t xml:space="preserve">  2. Summary of improvements vs. original proposal</t>
  </si>
  <si>
    <t xml:space="preserve">  3. Updated contract terms (if applicable)</t>
  </si>
  <si>
    <t xml:space="preserve">  4. Confirmation of implementation timeline</t>
  </si>
  <si>
    <t>This is your final opportunity to improve your offer. We plan to make our selection by [Date].</t>
  </si>
  <si>
    <t>Sincerely,</t>
  </si>
  <si>
    <t>[Your Name]</t>
  </si>
  <si>
    <t>[Title]</t>
  </si>
  <si>
    <t>PHASE 5: EXECUTIVE RECOMMENDATION REPORT</t>
  </si>
  <si>
    <t>1. EXECUTIVE SUMMARY</t>
  </si>
  <si>
    <t>Recommended Vendor:</t>
  </si>
  <si>
    <t>Total Weighted Score:</t>
  </si>
  <si>
    <t>[Score out of 100]</t>
  </si>
  <si>
    <t>Estimated Total Cost (5-year):</t>
  </si>
  <si>
    <t>$[Amount]</t>
  </si>
  <si>
    <t>Implementation Timeline:</t>
  </si>
  <si>
    <t>[X] months</t>
  </si>
  <si>
    <t>Expected Go-Live Date:</t>
  </si>
  <si>
    <t>[Date]</t>
  </si>
  <si>
    <t>Key Strengths:</t>
  </si>
  <si>
    <t>1.</t>
  </si>
  <si>
    <t>[Strength 1]</t>
  </si>
  <si>
    <t>2.</t>
  </si>
  <si>
    <t>[Strength 2]</t>
  </si>
  <si>
    <t>3.</t>
  </si>
  <si>
    <t>[Strength 3]</t>
  </si>
  <si>
    <t>Key Risks/Gaps:</t>
  </si>
  <si>
    <t>[Risk 1]</t>
  </si>
  <si>
    <t>Mitigation:</t>
  </si>
  <si>
    <t>[Mitigation plan]</t>
  </si>
  <si>
    <t>[Risk 2]</t>
  </si>
  <si>
    <t>[Risk 3]</t>
  </si>
  <si>
    <t>2. EVALUATION SUMMARY</t>
  </si>
  <si>
    <t>Total Vendors Evaluated:</t>
  </si>
  <si>
    <t>[Number]</t>
  </si>
  <si>
    <t>Vendors in Final Shortlist:</t>
  </si>
  <si>
    <t>Demos Conducted:</t>
  </si>
  <si>
    <t>Reference Checks Completed:</t>
  </si>
  <si>
    <t>Site Visits Conducted:</t>
  </si>
  <si>
    <t>3. SCORING COMPARISON</t>
  </si>
  <si>
    <t>Category</t>
  </si>
  <si>
    <t>Winner</t>
  </si>
  <si>
    <t>Runner-Up #1</t>
  </si>
  <si>
    <t>Runner-Up #2</t>
  </si>
  <si>
    <t>Functional (35%)</t>
  </si>
  <si>
    <t>[Score]</t>
  </si>
  <si>
    <t>Technical (30%)</t>
  </si>
  <si>
    <t>Security (20%)</t>
  </si>
  <si>
    <t>Viability (10%)</t>
  </si>
  <si>
    <t>Commercial (5%)</t>
  </si>
  <si>
    <t>TOTAL</t>
  </si>
  <si>
    <t>4. WHY NOT RUNNER-UP VENDORS?</t>
  </si>
  <si>
    <t>Vendor B:</t>
  </si>
  <si>
    <t>[Reason not selected]</t>
  </si>
  <si>
    <t>Vendor C:</t>
  </si>
  <si>
    <t>5. FINANCIAL ANALYSIS</t>
  </si>
  <si>
    <t>Component</t>
  </si>
  <si>
    <t>Year 1</t>
  </si>
  <si>
    <t>Years 2-5</t>
  </si>
  <si>
    <t>Total (5yr)</t>
  </si>
  <si>
    <t>License/Subscription</t>
  </si>
  <si>
    <t>$0</t>
  </si>
  <si>
    <t>Training</t>
  </si>
  <si>
    <t>Annual Maintenance</t>
  </si>
  <si>
    <t>Infrastructure (cloud/hardware)</t>
  </si>
  <si>
    <t>Internal FTE costs</t>
  </si>
  <si>
    <t>TOTAL COST OF OWNERSHIP</t>
  </si>
  <si>
    <t>6. IMPLEMENTATION PLAN</t>
  </si>
  <si>
    <t>Phase</t>
  </si>
  <si>
    <t>Duration</t>
  </si>
  <si>
    <t>Key Activities</t>
  </si>
  <si>
    <t>Deliverables</t>
  </si>
  <si>
    <t>Planning &amp; Kickoff</t>
  </si>
  <si>
    <t>4 weeks</t>
  </si>
  <si>
    <t>Form team, finalize requirements</t>
  </si>
  <si>
    <t>Project charter, plan</t>
  </si>
  <si>
    <t>Infrastructure Setup</t>
  </si>
  <si>
    <t>6 weeks</t>
  </si>
  <si>
    <t>Provision environments, network config</t>
  </si>
  <si>
    <t>Dev/Test/Prod environments</t>
  </si>
  <si>
    <t>Configuration</t>
  </si>
  <si>
    <t>8 weeks</t>
  </si>
  <si>
    <t>Interface builds, transformations</t>
  </si>
  <si>
    <t>Configured system</t>
  </si>
  <si>
    <t>Integration &amp; Testing</t>
  </si>
  <si>
    <t>Unit, integration, UAT testing</t>
  </si>
  <si>
    <t>Test results, sign-off</t>
  </si>
  <si>
    <t>Train staff, create runbooks</t>
  </si>
  <si>
    <t>Trained team, docs</t>
  </si>
  <si>
    <t>Go-Live &amp; Hypercare</t>
  </si>
  <si>
    <t>Production cutover, support</t>
  </si>
  <si>
    <t>Production system</t>
  </si>
  <si>
    <t>Total Timeline:</t>
  </si>
  <si>
    <t>34 weeks (~8 months)</t>
  </si>
  <si>
    <t>7. RISK ASSESSMENT</t>
  </si>
  <si>
    <t>Risk</t>
  </si>
  <si>
    <t>Probability</t>
  </si>
  <si>
    <t>Impact</t>
  </si>
  <si>
    <t>Mitigation</t>
  </si>
  <si>
    <t>Implementation delays</t>
  </si>
  <si>
    <t>Integration complexity</t>
  </si>
  <si>
    <t>Staff training challenges</t>
  </si>
  <si>
    <t>Low</t>
  </si>
  <si>
    <t>Vendor support quality</t>
  </si>
  <si>
    <t>Budget overruns</t>
  </si>
  <si>
    <t>8. SUCCESS CRITERIA</t>
  </si>
  <si>
    <t>Metric</t>
  </si>
  <si>
    <t>Baseline</t>
  </si>
  <si>
    <t>Target (12 months)</t>
  </si>
  <si>
    <t>Measurement</t>
  </si>
  <si>
    <t>Message processing volume</t>
  </si>
  <si>
    <t>[Current]</t>
  </si>
  <si>
    <t>[Target]</t>
  </si>
  <si>
    <t>System metrics</t>
  </si>
  <si>
    <t>Integration uptime</t>
  </si>
  <si>
    <t>99.9%</t>
  </si>
  <si>
    <t>Monitoring dashboard</t>
  </si>
  <si>
    <t>Message error rate</t>
  </si>
  <si>
    <t>&lt;0.1%</t>
  </si>
  <si>
    <t>Error logs</t>
  </si>
  <si>
    <t>Time to add new interface</t>
  </si>
  <si>
    <t>Project tracking</t>
  </si>
  <si>
    <t>Support tickets (P1/P2)</t>
  </si>
  <si>
    <t>Ticketing system</t>
  </si>
  <si>
    <t>9. NEXT STEPS</t>
  </si>
  <si>
    <t>Step</t>
  </si>
  <si>
    <t>Owner</t>
  </si>
  <si>
    <t>Due Date</t>
  </si>
  <si>
    <t>Status</t>
  </si>
  <si>
    <t>Executive approval of recommendation</t>
  </si>
  <si>
    <t>[Name]</t>
  </si>
  <si>
    <t>Pending</t>
  </si>
  <si>
    <t>Contract negotiation</t>
  </si>
  <si>
    <t>Not Started</t>
  </si>
  <si>
    <t>Final contract execution</t>
  </si>
  <si>
    <t>Project kickoff</t>
  </si>
  <si>
    <t>10. APPROVAL SIGNATURES</t>
  </si>
  <si>
    <t>Role</t>
  </si>
  <si>
    <t>Name</t>
  </si>
  <si>
    <t>Signature</t>
  </si>
  <si>
    <t>Date</t>
  </si>
  <si>
    <t>Recommended by:</t>
  </si>
  <si>
    <t>Reviewed by (IT):</t>
  </si>
  <si>
    <t>[CIO/IT Director]</t>
  </si>
  <si>
    <t>Reviewed by (Clinical):</t>
  </si>
  <si>
    <t>[CMIO/CNO]</t>
  </si>
  <si>
    <t>Reviewed by (Security):</t>
  </si>
  <si>
    <t>[CISO]</t>
  </si>
  <si>
    <t>Reviewed by (Finance):</t>
  </si>
  <si>
    <t>[CFO]</t>
  </si>
  <si>
    <t>Approved by:</t>
  </si>
  <si>
    <t>[CEO/Executive]</t>
  </si>
  <si>
    <t>POST-SELECTION: LESSONS LEARNED &amp; BEST PRACTICES</t>
  </si>
  <si>
    <t>COMMON PITFALLS TO AVOID</t>
  </si>
  <si>
    <t>Pitfall</t>
  </si>
  <si>
    <t>How to Avoid</t>
  </si>
  <si>
    <t>Skipping compliance check</t>
  </si>
  <si>
    <t>Always verify basic requirements before detailed evaluation</t>
  </si>
  <si>
    <t>Accepting slide demos instead of live systems</t>
  </si>
  <si>
    <t>Require hands-on demos with your actual data/scenarios</t>
  </si>
  <si>
    <t>Only checking vendor-provided references</t>
  </si>
  <si>
    <t>Find independent references through networking</t>
  </si>
  <si>
    <t>Ignoring total cost of ownership</t>
  </si>
  <si>
    <t>Calculate 3-5 year TCO including all hidden costs</t>
  </si>
  <si>
    <t>Rushing to decision</t>
  </si>
  <si>
    <t>Follow structured process, don't skip phases</t>
  </si>
  <si>
    <t>Not involving end users</t>
  </si>
  <si>
    <t>Include technical staff in demos and evaluation</t>
  </si>
  <si>
    <t>Weak contract negotiation</t>
  </si>
  <si>
    <t>Negotiate SLAs, exit clauses, and IP rights upfront</t>
  </si>
  <si>
    <t>Underestimating implementation time</t>
  </si>
  <si>
    <t>Add 20-30% buffer to vendor timeline estimates</t>
  </si>
  <si>
    <t>WHAT WENT WELL</t>
  </si>
  <si>
    <t>Success Factor</t>
  </si>
  <si>
    <t>Description</t>
  </si>
  <si>
    <t>Recommendation</t>
  </si>
  <si>
    <t>[Example: Structured process]</t>
  </si>
  <si>
    <t>[What worked]</t>
  </si>
  <si>
    <t>[How to replicate]</t>
  </si>
  <si>
    <t>WHAT COULD BE IMPROVED</t>
  </si>
  <si>
    <t>Challenge</t>
  </si>
  <si>
    <t>Future Improvement</t>
  </si>
  <si>
    <t>[Example: Timeline pressure]</t>
  </si>
  <si>
    <t>[Effect on evaluation]</t>
  </si>
  <si>
    <t>[How to avoid next time]</t>
  </si>
  <si>
    <t>KEY TAKEAWAYS</t>
  </si>
  <si>
    <t>[Takeaway 1]</t>
  </si>
  <si>
    <t>[Takeaway 2]</t>
  </si>
  <si>
    <t>[Takeaway 3]</t>
  </si>
  <si>
    <t>4.</t>
  </si>
  <si>
    <t>[Takeaway 4]</t>
  </si>
  <si>
    <t>5.</t>
  </si>
  <si>
    <t>[Takeaway 5]</t>
  </si>
  <si>
    <t>RECOMMENDED TIMELINE FOR FUTURE EVALUATIONS</t>
  </si>
  <si>
    <t>Can be done in parallel with prep</t>
  </si>
  <si>
    <t>Detailed Evaluation</t>
  </si>
  <si>
    <t>Requires dedicated team time</t>
  </si>
  <si>
    <t>Shortlisting</t>
  </si>
  <si>
    <t>Scoring and analysis</t>
  </si>
  <si>
    <t>Demos &amp; Clarifications</t>
  </si>
  <si>
    <t>Scheduling can be challenging</t>
  </si>
  <si>
    <t>Can overlap with demos</t>
  </si>
  <si>
    <t>Site Visits (optional)</t>
  </si>
  <si>
    <t>Only for mission-critical systems</t>
  </si>
  <si>
    <t>Final Scoring</t>
  </si>
  <si>
    <t>Allow time for team alignment</t>
  </si>
  <si>
    <t>Recommendation &amp; Approval</t>
  </si>
  <si>
    <t>Executive calendars</t>
  </si>
  <si>
    <t>Most variable component</t>
  </si>
  <si>
    <t>TOTAL DURATION</t>
  </si>
  <si>
    <t>BUILD vs BUY vs RENT DECISION FRAMEWORK</t>
  </si>
  <si>
    <t>Strategic Decision: How should we acquire the integration platform?</t>
  </si>
  <si>
    <t>DECISION CRITERIA</t>
  </si>
  <si>
    <t>BUILD (Mirth Connect)</t>
  </si>
  <si>
    <t>BUY (InterSystems)</t>
  </si>
  <si>
    <t>RENT (Cloud SaaS)</t>
  </si>
  <si>
    <t>INITIAL INVESTMENT</t>
  </si>
  <si>
    <t>Upfront Cost</t>
  </si>
  <si>
    <t>$200K (infra + staff)</t>
  </si>
  <si>
    <t>$800K (license + impl)</t>
  </si>
  <si>
    <t>$50K (setup)</t>
  </si>
  <si>
    <t>RENT wins</t>
  </si>
  <si>
    <t>Time to Deploy</t>
  </si>
  <si>
    <t>6-9 months</t>
  </si>
  <si>
    <t>4-6 months</t>
  </si>
  <si>
    <t>1-2 months</t>
  </si>
  <si>
    <t>Resource Requirements</t>
  </si>
  <si>
    <t>5-7 FTEs (dev team)</t>
  </si>
  <si>
    <t>2-3 FTEs (config)</t>
  </si>
  <si>
    <t>1 FTE (admin)</t>
  </si>
  <si>
    <t>Infrastructure</t>
  </si>
  <si>
    <t>Self-managed</t>
  </si>
  <si>
    <t>Vendor-managed</t>
  </si>
  <si>
    <t>ONGOING COSTS (Annual)</t>
  </si>
  <si>
    <t>25%</t>
  </si>
  <si>
    <t>Licensing</t>
  </si>
  <si>
    <t>$0 (open source)</t>
  </si>
  <si>
    <t>$150K</t>
  </si>
  <si>
    <t>$120K (subscription)</t>
  </si>
  <si>
    <t>BUILD wins</t>
  </si>
  <si>
    <t>Maintenance &amp; Support</t>
  </si>
  <si>
    <t>$50K (community/3rd party)</t>
  </si>
  <si>
    <t>$120K (20% of license)</t>
  </si>
  <si>
    <t>Included in subscription</t>
  </si>
  <si>
    <t>Staffing (operations)</t>
  </si>
  <si>
    <t>$400K (2 FTEs)</t>
  </si>
  <si>
    <t>$200K (1 FTE)</t>
  </si>
  <si>
    <t>$100K (0.5 FTE)</t>
  </si>
  <si>
    <t>Infrastructure/Hosting</t>
  </si>
  <si>
    <t>$60K</t>
  </si>
  <si>
    <t>Included</t>
  </si>
  <si>
    <t>$30K/year</t>
  </si>
  <si>
    <t>$20K/year</t>
  </si>
  <si>
    <t>$10K/year</t>
  </si>
  <si>
    <t>5-Year TCO</t>
  </si>
  <si>
    <t>$2.74M</t>
  </si>
  <si>
    <t>$2.5M</t>
  </si>
  <si>
    <t>$1.8M</t>
  </si>
  <si>
    <t>CAPABILITY &amp; FLEXIBILITY</t>
  </si>
  <si>
    <t>Customization</t>
  </si>
  <si>
    <t>Unlimited (source code)</t>
  </si>
  <si>
    <t>Moderate (config)</t>
  </si>
  <si>
    <t>Limited (API only)</t>
  </si>
  <si>
    <t>Time to Add Features</t>
  </si>
  <si>
    <t>Fast (if you have skills)</t>
  </si>
  <si>
    <t>Moderate</t>
  </si>
  <si>
    <t>Slow (vendor roadmap)</t>
  </si>
  <si>
    <t>Any (you code it)</t>
  </si>
  <si>
    <t>Enterprise patterns</t>
  </si>
  <si>
    <t>Standard patterns only</t>
  </si>
  <si>
    <t>Vendor Lock-in</t>
  </si>
  <si>
    <t>None</t>
  </si>
  <si>
    <t>Very High</t>
  </si>
  <si>
    <t>Technology Control</t>
  </si>
  <si>
    <t>Full control</t>
  </si>
  <si>
    <t>Partial control</t>
  </si>
  <si>
    <t>No control</t>
  </si>
  <si>
    <t>RISK &amp; SUPPORT</t>
  </si>
  <si>
    <t>Support Quality</t>
  </si>
  <si>
    <t>Community-based</t>
  </si>
  <si>
    <t>24/7 enterprise</t>
  </si>
  <si>
    <t>BUY/RENT wins</t>
  </si>
  <si>
    <t>Security Certifications</t>
  </si>
  <si>
    <t>None (DIY)</t>
  </si>
  <si>
    <t>HIPAA, SOC 2, HITRUST</t>
  </si>
  <si>
    <t>HIPAA, SOC 2</t>
  </si>
  <si>
    <t>BUY wins</t>
  </si>
  <si>
    <t>Compliance Burden</t>
  </si>
  <si>
    <t>100% on you</t>
  </si>
  <si>
    <t>Shared responsibility</t>
  </si>
  <si>
    <t>Disaster Recovery</t>
  </si>
  <si>
    <t>You build it</t>
  </si>
  <si>
    <t>Vendor-provided</t>
  </si>
  <si>
    <t>Skill Availability</t>
  </si>
  <si>
    <t>Low (niche skills)</t>
  </si>
  <si>
    <t>High (managed)</t>
  </si>
  <si>
    <t>Upgrade Risk</t>
  </si>
  <si>
    <t>High (manual testing)</t>
  </si>
  <si>
    <t>Low (vendor-managed)</t>
  </si>
  <si>
    <t>SCALABILITY &amp; PERFORMANCE</t>
  </si>
  <si>
    <t>Scale Up/Down</t>
  </si>
  <si>
    <t>Manual (add servers)</t>
  </si>
  <si>
    <t>Manual (add licenses)</t>
  </si>
  <si>
    <t>Automatic (elastic)</t>
  </si>
  <si>
    <t>Performance Optimization</t>
  </si>
  <si>
    <t>DIY tuning required</t>
  </si>
  <si>
    <t>Vendor guidance</t>
  </si>
  <si>
    <t>Geographic Distribution</t>
  </si>
  <si>
    <t>You architect it</t>
  </si>
  <si>
    <t>Multi-region ready</t>
  </si>
  <si>
    <t>Peak Load Handling</t>
  </si>
  <si>
    <t>Pre-provision capacity</t>
  </si>
  <si>
    <t>Auto-scale</t>
  </si>
  <si>
    <t>WEIGHTED SCORE CALCULATION</t>
  </si>
  <si>
    <t>Based on your priorities:</t>
  </si>
  <si>
    <t>BUILD: 68/100</t>
  </si>
  <si>
    <t>BUY: 82/100</t>
  </si>
  <si>
    <t>RENT: 85/100</t>
  </si>
  <si>
    <t>DECISION MATRIX BY SCENARIO</t>
  </si>
  <si>
    <t>BUILD</t>
  </si>
  <si>
    <t>BUY</t>
  </si>
  <si>
    <t>RENT</t>
  </si>
  <si>
    <t>Best For</t>
  </si>
  <si>
    <t>Large enterprise (5000+ beds)</t>
  </si>
  <si>
    <t>✓ If skilled team</t>
  </si>
  <si>
    <t>✓✓ Recommended</t>
  </si>
  <si>
    <t>○ Evaluate</t>
  </si>
  <si>
    <t>Medium hospital (500-5000 beds)</t>
  </si>
  <si>
    <t>○ If budget-limited</t>
  </si>
  <si>
    <t>✓ Good option</t>
  </si>
  <si>
    <t>RENT or BUY</t>
  </si>
  <si>
    <t>Small hospital (&lt;500 beds)</t>
  </si>
  <si>
    <t>✗ Not recommended</t>
  </si>
  <si>
    <t>○ May be overkill</t>
  </si>
  <si>
    <t>Health system (multi-facility)</t>
  </si>
  <si>
    <t>○ If centralized IT</t>
  </si>
  <si>
    <t>✓ Consider</t>
  </si>
  <si>
    <t>Startup/Digital Health</t>
  </si>
  <si>
    <t>✓ If tech-focused</t>
  </si>
  <si>
    <t>✗ Too expensive</t>
  </si>
  <si>
    <t>RENT or BUILD</t>
  </si>
  <si>
    <t>Highly regulated environment</t>
  </si>
  <si>
    <t>✗ Risk too high</t>
  </si>
  <si>
    <t>✓ If certified</t>
  </si>
  <si>
    <t>Limited IT staff</t>
  </si>
  <si>
    <t>✗ Not feasible</t>
  </si>
  <si>
    <t>○ Need support</t>
  </si>
  <si>
    <t>Unique requirements</t>
  </si>
  <si>
    <t>✓ If customizable</t>
  </si>
  <si>
    <t>✗ Too limited</t>
  </si>
  <si>
    <t>RECOMMENDATION FOR THIS RFQ</t>
  </si>
  <si>
    <t>Based on evaluation:</t>
  </si>
  <si>
    <t>Mirth Connect (BUILD)</t>
  </si>
  <si>
    <t>InterSystems (BUY)</t>
  </si>
  <si>
    <t>Consider Cloud Option</t>
  </si>
  <si>
    <t>Best if you have:</t>
  </si>
  <si>
    <t>• Strong dev team
• Budget constraints
• Unique needs</t>
  </si>
  <si>
    <t>• Enterprise budget
• Moderate IT staff
• Need support</t>
  </si>
  <si>
    <t>• Limited IT staff
• Fast deployment
• Predictable costs</t>
  </si>
  <si>
    <t>Risks:</t>
  </si>
  <si>
    <t>• No formal support
• Requires expertise
• Compliance burden</t>
  </si>
  <si>
    <t>• High upfront cost
• Vendor lock-in
• Complex contracts</t>
  </si>
  <si>
    <t>• Vendor dependency
• Limited customization
• Data sovereignty</t>
  </si>
  <si>
    <t>IMPLEMENTATION COMPLEXITY ASSESSMENT</t>
  </si>
  <si>
    <t>Rhapsody (BUY)</t>
  </si>
  <si>
    <t>Complexity Factor</t>
  </si>
  <si>
    <t>Score (1-5)</t>
  </si>
  <si>
    <t>TECHNICAL COMPLEXITY</t>
  </si>
  <si>
    <t>Installation &amp; Configuration</t>
  </si>
  <si>
    <t>Learning Curve</t>
  </si>
  <si>
    <t>Architecture Decisions</t>
  </si>
  <si>
    <t>Custom Code Required</t>
  </si>
  <si>
    <t>Testing Effort</t>
  </si>
  <si>
    <t>Performance Tuning</t>
  </si>
  <si>
    <t>Subtotal Technical</t>
  </si>
  <si>
    <t>27</t>
  </si>
  <si>
    <t>15</t>
  </si>
  <si>
    <t>14</t>
  </si>
  <si>
    <t>INTEGRATION COMPLEXITY</t>
  </si>
  <si>
    <t>Number of Systems to Integrate</t>
  </si>
  <si>
    <t>Data Format Diversity</t>
  </si>
  <si>
    <t>Message Volume</t>
  </si>
  <si>
    <t>Real-time Requirements</t>
  </si>
  <si>
    <t>Error Handling Sophistication</t>
  </si>
  <si>
    <t>Subtotal Integration</t>
  </si>
  <si>
    <t>17</t>
  </si>
  <si>
    <t>12</t>
  </si>
  <si>
    <t>ORGANIZATIONAL COMPLEXITY</t>
  </si>
  <si>
    <t>Team Skill Gap</t>
  </si>
  <si>
    <t>Change Management</t>
  </si>
  <si>
    <t>Stakeholder Alignment</t>
  </si>
  <si>
    <t>Vendor Coordination</t>
  </si>
  <si>
    <t>Training Requirements</t>
  </si>
  <si>
    <t>Subtotal Organizational</t>
  </si>
  <si>
    <t>19</t>
  </si>
  <si>
    <t>16</t>
  </si>
  <si>
    <t>OPERATIONAL COMPLEXITY</t>
  </si>
  <si>
    <t>Ongoing Maintenance</t>
  </si>
  <si>
    <t>Support Model</t>
  </si>
  <si>
    <t>Very Low</t>
  </si>
  <si>
    <t>Upgrade Process</t>
  </si>
  <si>
    <t>Monitoring &amp; Alerting</t>
  </si>
  <si>
    <t>Subtotal Operational</t>
  </si>
  <si>
    <t>23</t>
  </si>
  <si>
    <t>11</t>
  </si>
  <si>
    <t>COMPLIANCE COMPLEXITY</t>
  </si>
  <si>
    <t>Security Implementation</t>
  </si>
  <si>
    <t>Audit Trail Management</t>
  </si>
  <si>
    <t>Regulatory Reporting</t>
  </si>
  <si>
    <t>Certification Process</t>
  </si>
  <si>
    <t>Subtotal Compliance</t>
  </si>
  <si>
    <t>22</t>
  </si>
  <si>
    <t>TOTAL COMPLEXITY SCORE</t>
  </si>
  <si>
    <t>108/125</t>
  </si>
  <si>
    <t>63/125</t>
  </si>
  <si>
    <t>60/125</t>
  </si>
  <si>
    <t>Complexity Rating</t>
  </si>
  <si>
    <t>86%</t>
  </si>
  <si>
    <t>HIGH RISK</t>
  </si>
  <si>
    <t>50%</t>
  </si>
  <si>
    <t>MODERATE</t>
  </si>
  <si>
    <t>48%</t>
  </si>
  <si>
    <t>COMPLEXITY INTERPRETATION</t>
  </si>
  <si>
    <t>Score Range</t>
  </si>
  <si>
    <t>Rating</t>
  </si>
  <si>
    <t>Risk Level</t>
  </si>
  <si>
    <t>90-125 (&gt;72%)</t>
  </si>
  <si>
    <t>Requires expert team &amp; strong governance</t>
  </si>
  <si>
    <t>70-89 (56-72%)</t>
  </si>
  <si>
    <t>Significant</t>
  </si>
  <si>
    <t>Need experienced team &amp; external support</t>
  </si>
  <si>
    <t>50-69 (40-56%)</t>
  </si>
  <si>
    <t>Adequate internal capability with training</t>
  </si>
  <si>
    <t>30-49 (24-40%)</t>
  </si>
  <si>
    <t>Manageable</t>
  </si>
  <si>
    <t>Standard implementation approach</t>
  </si>
  <si>
    <t>&lt;30 (&lt;24%)</t>
  </si>
  <si>
    <t>Minimal</t>
  </si>
  <si>
    <t>Straightforward deployment</t>
  </si>
  <si>
    <t>COMPLEXITY MITIGATION STRATEGIES</t>
  </si>
  <si>
    <t>Mirth Connect</t>
  </si>
  <si>
    <t>InterSystems</t>
  </si>
  <si>
    <t>Rhapsody</t>
  </si>
  <si>
    <t>Risk Mitigation</t>
  </si>
  <si>
    <t>• Hire HL7 experts
• Extensive training
• Phased rollout
• Strong DevOps</t>
  </si>
  <si>
    <t>• Leverage vendor services
• Structured training
• Partner with SI</t>
  </si>
  <si>
    <t>• Use vendor best practices
• Engage professional services
• Follow reference architectures</t>
  </si>
  <si>
    <t>Success Factors</t>
  </si>
  <si>
    <t>• Dev team with Java skills
• Clear architecture vision
• Time for learning curve
• Budget for consultants</t>
  </si>
  <si>
    <t>• Executive sponsorship
• Adequate budget
• Vendor partnership
• Clear requirements</t>
  </si>
  <si>
    <t>• Strong project management
• Vendor engagement
• User training focus
• Realistic timeline</t>
  </si>
  <si>
    <t>SWOT ANALYSIS - VENDOR COMPARISON</t>
  </si>
  <si>
    <t>MIRTH CONNECT (Open Source / BUILD Option)</t>
  </si>
  <si>
    <t>STRENGTHS</t>
  </si>
  <si>
    <t>WEAKNESSES</t>
  </si>
  <si>
    <t>OPPORTUNITIES</t>
  </si>
  <si>
    <t>THREATS</t>
  </si>
  <si>
    <t>✓ Zero licensing cost</t>
  </si>
  <si>
    <t>✗ No formal vendor support</t>
  </si>
  <si>
    <t>○ Active open-source community</t>
  </si>
  <si>
    <t>⚠ Community support may decline</t>
  </si>
  <si>
    <t>✓ Full source code access</t>
  </si>
  <si>
    <t>✗ Requires strong dev skills</t>
  </si>
  <si>
    <t>○ Customizable to any need</t>
  </si>
  <si>
    <t>⚠ Staff turnover = knowledge loss</t>
  </si>
  <si>
    <t>✓ No vendor lock-in</t>
  </si>
  <si>
    <t>✗ No certifications (HIPAA, SOC 2)</t>
  </si>
  <si>
    <t>○ Learn transferable skills</t>
  </si>
  <si>
    <t>⚠ Compliance burden on you</t>
  </si>
  <si>
    <t>✓ Excellent HL7 v2 support</t>
  </si>
  <si>
    <t>✗ FHIR support still maturing</t>
  </si>
  <si>
    <t>○ Contribute to FHIR roadmap</t>
  </si>
  <si>
    <t>⚠ May lag commercial products</t>
  </si>
  <si>
    <t>✓ Flexible deployment options</t>
  </si>
  <si>
    <t>✗ Manual security hardening</t>
  </si>
  <si>
    <t>○ Cloud-native deployment</t>
  </si>
  <si>
    <t>⚠ DIY disaster recovery</t>
  </si>
  <si>
    <t>✓ Large community</t>
  </si>
  <si>
    <t>✗ Fragmented documentation</t>
  </si>
  <si>
    <t>○ Training resources growing</t>
  </si>
  <si>
    <t>⚠ No guaranteed updates/patches</t>
  </si>
  <si>
    <t>✓ Fast feature development</t>
  </si>
  <si>
    <t>✗ Testing burden on you</t>
  </si>
  <si>
    <t>○ Control upgrade timeline</t>
  </si>
  <si>
    <t>⚠ Compatibility issues with upgrades</t>
  </si>
  <si>
    <t>✓ JavaScript-based transforms</t>
  </si>
  <si>
    <t>✗ Limited GUI tools</t>
  </si>
  <si>
    <t>○ IDE integration improving</t>
  </si>
  <si>
    <t>⚠ Skilled developers hard to find</t>
  </si>
  <si>
    <t>BEST FOR:</t>
  </si>
  <si>
    <t>Not suitable for:</t>
  </si>
  <si>
    <t>Key Success Factor:</t>
  </si>
  <si>
    <t>Deal Breaker:</t>
  </si>
  <si>
    <t>• Budget-constrained orgs
• Strong dev teams
• Unique requirements
• Tech-forward culture</t>
  </si>
  <si>
    <t>• Risk-averse organizations
• Limited IT staff
• High compliance needs
• Prefer vendor support</t>
  </si>
  <si>
    <t>Development team with
HL7/Java/JavaScript expertise
and time to invest</t>
  </si>
  <si>
    <t>Lack of HIPAA certification
and formal SLA guarantees</t>
  </si>
  <si>
    <t>INTERSYSTEMS HEALTHSHARE (Commercial / BUY Option)</t>
  </si>
  <si>
    <t>✓ 40+ years in healthcare</t>
  </si>
  <si>
    <t>✗ High upfront cost</t>
  </si>
  <si>
    <t>○ Cloud offering emerging</t>
  </si>
  <si>
    <t>⚠ Complex pricing model</t>
  </si>
  <si>
    <t>✓ Enterprise-grade platform</t>
  </si>
  <si>
    <t>✗ Steep learning curve</t>
  </si>
  <si>
    <t>○ FHIR innovation leader</t>
  </si>
  <si>
    <t>⚠ Vendor lock-in risk</t>
  </si>
  <si>
    <t>✓ Excellent FHIR R4 support</t>
  </si>
  <si>
    <t>✗ Rigid licensing terms</t>
  </si>
  <si>
    <t>○ Growing partner ecosystem</t>
  </si>
  <si>
    <t>⚠ Staff costs for Cache developers</t>
  </si>
  <si>
    <t>✓ Built-in data persistence</t>
  </si>
  <si>
    <t>✗ Requires Cache/ObjectScript</t>
  </si>
  <si>
    <t>○ AI/ML capabilities roadmap</t>
  </si>
  <si>
    <t>⚠ Premium pricing vs competitors</t>
  </si>
  <si>
    <t>✓ 24/7 enterprise support</t>
  </si>
  <si>
    <t>✗ Implementation complexity</t>
  </si>
  <si>
    <t>○ Strong healthcare focus</t>
  </si>
  <si>
    <t>⚠ Perception as "legacy" platform</t>
  </si>
  <si>
    <t>✓ All certifications (SOC 2, HITRUST)</t>
  </si>
  <si>
    <t>✗ Long procurement cycles</t>
  </si>
  <si>
    <t>○ Government/VA contracts</t>
  </si>
  <si>
    <t>⚠ Newer cloud-native competitors</t>
  </si>
  <si>
    <t>✓ Proven at scale</t>
  </si>
  <si>
    <t>✗ Heavy infrastructure needs</t>
  </si>
  <si>
    <t>○ International expansion</t>
  </si>
  <si>
    <t>⚠ Economic downturn = fewer deals</t>
  </si>
  <si>
    <t>✓ Visual development tools</t>
  </si>
  <si>
    <t>✗ Customization can be costly</t>
  </si>
  <si>
    <t>○ Unified care record vision</t>
  </si>
  <si>
    <t>⚠ Open source alternatives</t>
  </si>
  <si>
    <t>• Large health systems
• High message volumes
• Complex integrations
• Need vendor support</t>
  </si>
  <si>
    <t>• Small/medium hospitals
• Limited budgets
• Simple integrations
• Prefer cloud-first</t>
  </si>
  <si>
    <t>Executive sponsorship,
adequate budget, and
long-term commitment</t>
  </si>
  <si>
    <t>High TCO ($2.5M over 5 years)
and vendor lock-in concerns</t>
  </si>
  <si>
    <t>RHAPSODY INTEGRATION ENGINE (Commercial / BUY Option)</t>
  </si>
  <si>
    <t>✓ User-friendly interface</t>
  </si>
  <si>
    <t>✗ Smaller market share than ISC</t>
  </si>
  <si>
    <t>○ Cloud/SaaS offering</t>
  </si>
  <si>
    <t>⚠ Acquisition by Orion Health</t>
  </si>
  <si>
    <t>✓ Excellent documentation</t>
  </si>
  <si>
    <t>✗ Fewer pre-built connectors</t>
  </si>
  <si>
    <t>○ Asia-Pacific expansion</t>
  </si>
  <si>
    <t>⚠ Less innovation than competitors</t>
  </si>
  <si>
    <t>✓ Strong HL7 v2 capabilities</t>
  </si>
  <si>
    <t>✗ FHIR catching up to leaders</t>
  </si>
  <si>
    <t>○ Value-based care push</t>
  </si>
  <si>
    <t>⚠ Staff familiarity lower</t>
  </si>
  <si>
    <t>✓ Good price/performance ratio</t>
  </si>
  <si>
    <t>✗ Less name recognition</t>
  </si>
  <si>
    <t>○ Partnership opportunities</t>
  </si>
  <si>
    <t>⚠ Smaller user community</t>
  </si>
  <si>
    <t>✓ Faster implementation</t>
  </si>
  <si>
    <t>✗ Limited enterprise features</t>
  </si>
  <si>
    <t>○ Niche in mid-market</t>
  </si>
  <si>
    <t>⚠ ISC/Epic competitive pressure</t>
  </si>
  <si>
    <t>✓ Responsive support</t>
  </si>
  <si>
    <t>✗ Not ideal for huge scale</t>
  </si>
  <si>
    <t>○ Interoperability mandates</t>
  </si>
  <si>
    <t>⚠ Cloud providers (AWS, Azure)</t>
  </si>
  <si>
    <t>✓ Lower TCO than ISC</t>
  </si>
  <si>
    <t>✗ Fewer reference sites</t>
  </si>
  <si>
    <t>○ Telehealth integration</t>
  </si>
  <si>
    <t>⚠ Economic uncertainty</t>
  </si>
  <si>
    <t>✓ Good training programs</t>
  </si>
  <si>
    <t>✗ Less mature data platform</t>
  </si>
  <si>
    <t>○ Focus on usability</t>
  </si>
  <si>
    <t>⚠ Mirth/open source pricing</t>
  </si>
  <si>
    <t>• Medium-sized hospitals
• Ease of use priority
• Faster deployment
• Mid-range budget</t>
  </si>
  <si>
    <t>• Very large enterprises
• Cutting-edge FHIR needs
• Deep data analytics
• Brand-conscious buyers</t>
  </si>
  <si>
    <t>Focus on user experience,
vendor partnership, and
realistic expectations</t>
  </si>
  <si>
    <t>Perception as "mid-tier"
and smaller ecosystem</t>
  </si>
  <si>
    <t>COMPARATIVE SWOT SUMMARY</t>
  </si>
  <si>
    <t>Criterion</t>
  </si>
  <si>
    <t>Overall Risk Level</t>
  </si>
  <si>
    <t>HIGH</t>
  </si>
  <si>
    <t>MEDIUM</t>
  </si>
  <si>
    <t>Implementation Risk</t>
  </si>
  <si>
    <t>Operational Risk</t>
  </si>
  <si>
    <t>Financial Risk</t>
  </si>
  <si>
    <t>Strategic Fit</t>
  </si>
  <si>
    <t>Tech-forward orgs</t>
  </si>
  <si>
    <t>Enterprise healthcare</t>
  </si>
  <si>
    <t>Mid-market hospitals</t>
  </si>
  <si>
    <t>Recommended If...</t>
  </si>
  <si>
    <t>Strong dev team + tight budget</t>
  </si>
  <si>
    <t>Large scale + enterprise needs</t>
  </si>
  <si>
    <t>Balance of cost +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</si>
</sst>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sz val="1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i/>
      <sz val="9"/>
      <name val="Calibri"/>
    </font>
    <font>
      <b/>
      <sz val="10"/>
      <color rgb="FF0066CC"/>
      <name val="Calibri"/>
    </font>
    <font>
      <b/>
      <sz val="11"/>
      <color rgb="FFFFFFFF"/>
      <name val="Calibri"/>
    </font>
    <font>
      <i/>
      <sz val="10"/>
      <name val="Calibri"/>
    </font>
    <font>
      <b/>
      <sz val="10"/>
      <color rgb="FF006100"/>
      <name val="Calibri"/>
    </font>
    <font>
      <b/>
      <sz val="10"/>
      <color rgb="FF9C6500"/>
      <name val="Calibri"/>
    </font>
    <font>
      <b/>
      <sz val="10"/>
      <name val="Calibri"/>
    </font>
    <font>
      <b/>
      <sz val="10"/>
      <color rgb="FF9C0006"/>
      <name val="Calibri"/>
    </font>
    <font>
      <b/>
      <sz val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764BA2"/>
        <bgColor rgb="FF764BA2"/>
      </patternFill>
    </fill>
    <fill>
      <patternFill patternType="solid">
        <fgColor rgb="FF667EEA"/>
        <bgColor rgb="FF667EEA"/>
      </patternFill>
    </fill>
    <fill>
      <patternFill patternType="solid">
        <fgColor rgb="FF48BB78"/>
        <bgColor rgb="FF48BB78"/>
      </patternFill>
    </fill>
    <fill>
      <patternFill patternType="solid">
        <fgColor rgb="FFE2E8F0"/>
        <bgColor rgb="FFE2E8F0"/>
      </patternFill>
    </fill>
    <fill>
      <patternFill patternType="solid">
        <fgColor rgb="FFF56565"/>
        <bgColor rgb="FFF56565"/>
      </patternFill>
    </fill>
    <fill>
      <patternFill patternType="solid">
        <fgColor rgb="FF4299E1"/>
        <bgColor rgb="FF4299E1"/>
      </patternFill>
    </fill>
    <fill>
      <patternFill patternType="solid">
        <fgColor rgb="FFFFF4E6"/>
        <bgColor rgb="FFFFF4E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00B050"/>
        <bgColor rgb="FF00B05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8" fillId="8" borderId="0" xfId="0" applyFont="1" applyFill="1"/>
    <xf numFmtId="0" fontId="9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4" fillId="6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0" fillId="0" borderId="0" xfId="0" applyFont="1"/>
    <xf numFmtId="0" fontId="4" fillId="4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sqref="A1:G1"/>
    </sheetView>
  </sheetViews>
  <sheetFormatPr defaultRowHeight="14.5" x14ac:dyDescent="0.35"/>
  <cols>
    <col min="1" max="1" width="18" customWidth="1"/>
    <col min="2" max="2" width="8" customWidth="1"/>
    <col min="3" max="3" width="25" customWidth="1"/>
    <col min="4" max="4" width="40" customWidth="1"/>
    <col min="5" max="5" width="25" customWidth="1"/>
    <col min="6" max="6" width="12" customWidth="1"/>
    <col min="7" max="7" width="22" customWidth="1"/>
  </cols>
  <sheetData>
    <row r="1" spans="1:7" ht="25" customHeight="1" x14ac:dyDescent="0.35">
      <c r="A1" s="25" t="s">
        <v>0</v>
      </c>
      <c r="B1" s="26"/>
      <c r="C1" s="26"/>
      <c r="D1" s="26"/>
      <c r="E1" s="26"/>
      <c r="F1" s="26"/>
      <c r="G1" s="26"/>
    </row>
    <row r="3" spans="1:7" x14ac:dyDescent="0.35">
      <c r="A3" s="1" t="s">
        <v>1</v>
      </c>
      <c r="B3" s="2" t="s">
        <v>2</v>
      </c>
    </row>
    <row r="4" spans="1:7" x14ac:dyDescent="0.35">
      <c r="A4" s="1" t="s">
        <v>3</v>
      </c>
      <c r="B4" s="2" t="s">
        <v>4</v>
      </c>
    </row>
    <row r="5" spans="1:7" x14ac:dyDescent="0.35">
      <c r="A5" s="1" t="s">
        <v>5</v>
      </c>
      <c r="B5" s="2" t="s">
        <v>6</v>
      </c>
    </row>
    <row r="6" spans="1:7" x14ac:dyDescent="0.35">
      <c r="A6" s="1" t="s">
        <v>7</v>
      </c>
      <c r="B6" s="2" t="s">
        <v>8</v>
      </c>
    </row>
    <row r="8" spans="1:7" ht="15.5" x14ac:dyDescent="0.3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</row>
    <row r="9" spans="1:7" ht="26" x14ac:dyDescent="0.35">
      <c r="A9" s="4" t="s">
        <v>16</v>
      </c>
      <c r="B9" s="4" t="s">
        <v>17</v>
      </c>
      <c r="C9" s="4" t="s">
        <v>18</v>
      </c>
      <c r="D9" s="4" t="s">
        <v>19</v>
      </c>
      <c r="E9" s="4"/>
      <c r="F9" s="4" t="s">
        <v>20</v>
      </c>
      <c r="G9" s="4" t="s">
        <v>21</v>
      </c>
    </row>
    <row r="10" spans="1:7" ht="26" x14ac:dyDescent="0.35">
      <c r="A10" s="5"/>
      <c r="B10" s="5" t="s">
        <v>22</v>
      </c>
      <c r="C10" s="5" t="s">
        <v>23</v>
      </c>
      <c r="D10" s="5" t="s">
        <v>24</v>
      </c>
      <c r="E10" s="5" t="s">
        <v>25</v>
      </c>
      <c r="F10" s="5"/>
      <c r="G10" s="5" t="s">
        <v>26</v>
      </c>
    </row>
    <row r="11" spans="1:7" ht="26" x14ac:dyDescent="0.35">
      <c r="A11" s="5"/>
      <c r="B11" s="5" t="s">
        <v>27</v>
      </c>
      <c r="C11" s="5" t="s">
        <v>28</v>
      </c>
      <c r="D11" s="5" t="s">
        <v>29</v>
      </c>
      <c r="E11" s="5"/>
      <c r="F11" s="5"/>
      <c r="G11" s="5" t="s">
        <v>30</v>
      </c>
    </row>
    <row r="12" spans="1:7" ht="26" x14ac:dyDescent="0.35">
      <c r="A12" s="4" t="s">
        <v>31</v>
      </c>
      <c r="B12" s="4" t="s">
        <v>32</v>
      </c>
      <c r="C12" s="4" t="s">
        <v>33</v>
      </c>
      <c r="D12" s="4" t="s">
        <v>34</v>
      </c>
      <c r="E12" s="4"/>
      <c r="F12" s="4" t="s">
        <v>35</v>
      </c>
      <c r="G12" s="4"/>
    </row>
    <row r="13" spans="1:7" ht="26" x14ac:dyDescent="0.35">
      <c r="A13" s="5"/>
      <c r="B13" s="5" t="s">
        <v>36</v>
      </c>
      <c r="C13" s="5" t="s">
        <v>37</v>
      </c>
      <c r="D13" s="5" t="s">
        <v>38</v>
      </c>
      <c r="E13" s="5"/>
      <c r="F13" s="5"/>
      <c r="G13" s="5" t="s">
        <v>39</v>
      </c>
    </row>
    <row r="14" spans="1:7" ht="26" x14ac:dyDescent="0.35">
      <c r="A14" s="5"/>
      <c r="B14" s="5" t="s">
        <v>40</v>
      </c>
      <c r="C14" s="5" t="s">
        <v>41</v>
      </c>
      <c r="D14" s="5" t="s">
        <v>42</v>
      </c>
      <c r="E14" s="5"/>
      <c r="F14" s="5"/>
      <c r="G14" s="5" t="s">
        <v>43</v>
      </c>
    </row>
    <row r="15" spans="1:7" ht="26" x14ac:dyDescent="0.35">
      <c r="A15" s="5"/>
      <c r="B15" s="5" t="s">
        <v>44</v>
      </c>
      <c r="C15" s="5" t="s">
        <v>45</v>
      </c>
      <c r="D15" s="5" t="s">
        <v>46</v>
      </c>
      <c r="E15" s="5"/>
      <c r="F15" s="5"/>
      <c r="G15" s="5" t="s">
        <v>47</v>
      </c>
    </row>
    <row r="16" spans="1:7" ht="26" x14ac:dyDescent="0.35">
      <c r="A16" s="5"/>
      <c r="B16" s="5" t="s">
        <v>48</v>
      </c>
      <c r="C16" s="5" t="s">
        <v>49</v>
      </c>
      <c r="D16" s="5" t="s">
        <v>50</v>
      </c>
      <c r="E16" s="5"/>
      <c r="F16" s="5"/>
      <c r="G16" s="5" t="s">
        <v>51</v>
      </c>
    </row>
    <row r="17" spans="1:7" ht="39" x14ac:dyDescent="0.35">
      <c r="A17" s="4" t="s">
        <v>52</v>
      </c>
      <c r="B17" s="4" t="s">
        <v>53</v>
      </c>
      <c r="C17" s="4" t="s">
        <v>54</v>
      </c>
      <c r="D17" s="4" t="s">
        <v>55</v>
      </c>
      <c r="E17" s="4"/>
      <c r="F17" s="4" t="s">
        <v>20</v>
      </c>
      <c r="G17" s="4" t="s">
        <v>56</v>
      </c>
    </row>
    <row r="18" spans="1:7" x14ac:dyDescent="0.35">
      <c r="A18" s="5"/>
      <c r="B18" s="5" t="s">
        <v>57</v>
      </c>
      <c r="C18" s="5" t="s">
        <v>58</v>
      </c>
      <c r="D18" s="5" t="s">
        <v>59</v>
      </c>
      <c r="E18" s="5" t="s">
        <v>60</v>
      </c>
      <c r="F18" s="5"/>
      <c r="G18" s="5" t="s">
        <v>61</v>
      </c>
    </row>
    <row r="19" spans="1:7" ht="26" x14ac:dyDescent="0.35">
      <c r="A19" s="4" t="s">
        <v>62</v>
      </c>
      <c r="B19" s="4" t="s">
        <v>63</v>
      </c>
      <c r="C19" s="4" t="s">
        <v>64</v>
      </c>
      <c r="D19" s="4" t="s">
        <v>65</v>
      </c>
      <c r="E19" s="4"/>
      <c r="F19" s="4" t="s">
        <v>20</v>
      </c>
      <c r="G19" s="4" t="s">
        <v>66</v>
      </c>
    </row>
    <row r="20" spans="1:7" ht="26" x14ac:dyDescent="0.35">
      <c r="A20" s="5"/>
      <c r="B20" s="5" t="s">
        <v>67</v>
      </c>
      <c r="C20" s="5" t="s">
        <v>68</v>
      </c>
      <c r="D20" s="5" t="s">
        <v>69</v>
      </c>
      <c r="E20" s="5"/>
      <c r="F20" s="5" t="s">
        <v>70</v>
      </c>
      <c r="G20" s="5" t="s">
        <v>71</v>
      </c>
    </row>
    <row r="21" spans="1:7" x14ac:dyDescent="0.35">
      <c r="A21" s="5"/>
      <c r="B21" s="5" t="s">
        <v>72</v>
      </c>
      <c r="C21" s="5" t="s">
        <v>73</v>
      </c>
      <c r="D21" s="5" t="s">
        <v>74</v>
      </c>
      <c r="E21" s="5"/>
      <c r="F21" s="5" t="s">
        <v>20</v>
      </c>
      <c r="G21" s="5" t="s">
        <v>75</v>
      </c>
    </row>
    <row r="22" spans="1:7" x14ac:dyDescent="0.35">
      <c r="A22" s="5"/>
      <c r="B22" s="5" t="s">
        <v>76</v>
      </c>
      <c r="C22" s="5" t="s">
        <v>77</v>
      </c>
      <c r="D22" s="5" t="s">
        <v>78</v>
      </c>
      <c r="E22" s="5"/>
      <c r="F22" s="5" t="s">
        <v>70</v>
      </c>
      <c r="G22" s="5" t="s">
        <v>79</v>
      </c>
    </row>
    <row r="23" spans="1:7" ht="26" x14ac:dyDescent="0.35">
      <c r="A23" s="4" t="s">
        <v>80</v>
      </c>
      <c r="B23" s="4" t="s">
        <v>81</v>
      </c>
      <c r="C23" s="4" t="s">
        <v>82</v>
      </c>
      <c r="D23" s="4" t="s">
        <v>83</v>
      </c>
      <c r="E23" s="4" t="s">
        <v>84</v>
      </c>
      <c r="F23" s="4" t="s">
        <v>20</v>
      </c>
      <c r="G23" s="4" t="s">
        <v>85</v>
      </c>
    </row>
    <row r="24" spans="1:7" ht="26" x14ac:dyDescent="0.35">
      <c r="A24" s="5"/>
      <c r="B24" s="5" t="s">
        <v>86</v>
      </c>
      <c r="C24" s="5" t="s">
        <v>87</v>
      </c>
      <c r="D24" s="5" t="s">
        <v>88</v>
      </c>
      <c r="E24" s="5" t="s">
        <v>89</v>
      </c>
      <c r="F24" s="5"/>
      <c r="G24" s="5" t="s">
        <v>90</v>
      </c>
    </row>
    <row r="25" spans="1:7" ht="26" x14ac:dyDescent="0.35">
      <c r="A25" s="5"/>
      <c r="B25" s="5" t="s">
        <v>91</v>
      </c>
      <c r="C25" s="5" t="s">
        <v>92</v>
      </c>
      <c r="D25" s="5" t="s">
        <v>93</v>
      </c>
      <c r="E25" s="5" t="s">
        <v>94</v>
      </c>
      <c r="F25" s="5"/>
      <c r="G25" s="5" t="s">
        <v>95</v>
      </c>
    </row>
    <row r="26" spans="1:7" x14ac:dyDescent="0.35">
      <c r="A26" s="5"/>
      <c r="B26" s="5"/>
      <c r="C26" s="5" t="s">
        <v>96</v>
      </c>
      <c r="D26" s="5" t="s">
        <v>97</v>
      </c>
      <c r="E26" s="5"/>
      <c r="F26" s="5"/>
      <c r="G26" s="5"/>
    </row>
    <row r="27" spans="1:7" ht="26" x14ac:dyDescent="0.35">
      <c r="A27" s="4" t="s">
        <v>98</v>
      </c>
      <c r="B27" s="4" t="s">
        <v>99</v>
      </c>
      <c r="C27" s="4" t="s">
        <v>100</v>
      </c>
      <c r="D27" s="4" t="s">
        <v>101</v>
      </c>
      <c r="E27" s="4"/>
      <c r="F27" s="4" t="s">
        <v>35</v>
      </c>
      <c r="G27" s="4" t="s">
        <v>102</v>
      </c>
    </row>
    <row r="28" spans="1:7" x14ac:dyDescent="0.35">
      <c r="A28" s="5"/>
      <c r="B28" s="5" t="s">
        <v>103</v>
      </c>
      <c r="C28" s="5" t="s">
        <v>104</v>
      </c>
      <c r="D28" s="5" t="s">
        <v>105</v>
      </c>
      <c r="E28" s="5"/>
      <c r="F28" s="5"/>
      <c r="G28" s="5" t="s">
        <v>104</v>
      </c>
    </row>
    <row r="29" spans="1:7" ht="26" x14ac:dyDescent="0.35">
      <c r="A29" s="5"/>
      <c r="B29" s="5" t="s">
        <v>106</v>
      </c>
      <c r="C29" s="5" t="s">
        <v>107</v>
      </c>
      <c r="D29" s="5" t="s">
        <v>108</v>
      </c>
      <c r="E29" s="5"/>
      <c r="F29" s="5" t="s">
        <v>109</v>
      </c>
      <c r="G29" s="5" t="s">
        <v>110</v>
      </c>
    </row>
    <row r="30" spans="1:7" x14ac:dyDescent="0.35">
      <c r="A30" s="5"/>
      <c r="B30" s="5" t="s">
        <v>111</v>
      </c>
      <c r="C30" s="5" t="s">
        <v>112</v>
      </c>
      <c r="D30" s="5" t="s">
        <v>113</v>
      </c>
      <c r="E30" s="5"/>
      <c r="F30" s="5"/>
      <c r="G30" s="5" t="s">
        <v>114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sqref="A1:H1"/>
    </sheetView>
  </sheetViews>
  <sheetFormatPr defaultRowHeight="14.5" x14ac:dyDescent="0.35"/>
  <cols>
    <col min="1" max="1" width="35" customWidth="1"/>
    <col min="2" max="2" width="12" customWidth="1"/>
    <col min="3" max="3" width="10" customWidth="1"/>
    <col min="4" max="6" width="12" customWidth="1"/>
    <col min="7" max="7" width="30" customWidth="1"/>
    <col min="8" max="8" width="25" customWidth="1"/>
  </cols>
  <sheetData>
    <row r="1" spans="1:8" x14ac:dyDescent="0.35">
      <c r="A1" s="29" t="s">
        <v>115</v>
      </c>
      <c r="B1" s="26"/>
      <c r="C1" s="26"/>
      <c r="D1" s="26"/>
      <c r="E1" s="26"/>
      <c r="F1" s="26"/>
      <c r="G1" s="26"/>
      <c r="H1" s="26"/>
    </row>
    <row r="3" spans="1:8" x14ac:dyDescent="0.35">
      <c r="A3" s="27" t="s">
        <v>116</v>
      </c>
      <c r="B3" s="26"/>
      <c r="C3" s="26"/>
      <c r="D3" s="26"/>
      <c r="E3" s="26"/>
      <c r="F3" s="26"/>
      <c r="G3" s="26"/>
      <c r="H3" s="26"/>
    </row>
    <row r="5" spans="1:8" ht="15.5" x14ac:dyDescent="0.35">
      <c r="A5" s="3" t="s">
        <v>117</v>
      </c>
      <c r="B5" s="3" t="s">
        <v>118</v>
      </c>
      <c r="C5" s="3" t="s">
        <v>119</v>
      </c>
      <c r="D5" s="3" t="s">
        <v>120</v>
      </c>
      <c r="E5" s="3" t="s">
        <v>121</v>
      </c>
      <c r="F5" s="3" t="s">
        <v>122</v>
      </c>
      <c r="G5" s="3" t="s">
        <v>123</v>
      </c>
      <c r="H5" s="3" t="s">
        <v>124</v>
      </c>
    </row>
    <row r="6" spans="1:8" x14ac:dyDescent="0.35">
      <c r="A6" s="6" t="s">
        <v>125</v>
      </c>
      <c r="B6" s="7"/>
      <c r="C6" s="7"/>
      <c r="D6" s="7"/>
      <c r="E6" s="7"/>
      <c r="F6" s="7"/>
      <c r="G6" s="6"/>
      <c r="H6" s="6"/>
    </row>
    <row r="7" spans="1:8" x14ac:dyDescent="0.35">
      <c r="A7" s="5" t="s">
        <v>126</v>
      </c>
      <c r="B7" s="8" t="s">
        <v>127</v>
      </c>
      <c r="C7" s="8" t="s">
        <v>128</v>
      </c>
      <c r="D7" s="8"/>
      <c r="E7" s="8"/>
      <c r="F7" s="8"/>
      <c r="G7" s="5"/>
      <c r="H7" s="5" t="s">
        <v>129</v>
      </c>
    </row>
    <row r="8" spans="1:8" x14ac:dyDescent="0.35">
      <c r="A8" s="5" t="s">
        <v>130</v>
      </c>
      <c r="B8" s="8" t="s">
        <v>127</v>
      </c>
      <c r="C8" s="8" t="s">
        <v>131</v>
      </c>
      <c r="D8" s="8"/>
      <c r="E8" s="8"/>
      <c r="F8" s="8"/>
      <c r="G8" s="5"/>
      <c r="H8" s="5" t="s">
        <v>132</v>
      </c>
    </row>
    <row r="9" spans="1:8" x14ac:dyDescent="0.35">
      <c r="A9" s="5" t="s">
        <v>133</v>
      </c>
      <c r="B9" s="8" t="s">
        <v>127</v>
      </c>
      <c r="C9" s="8" t="s">
        <v>128</v>
      </c>
      <c r="D9" s="8"/>
      <c r="E9" s="8"/>
      <c r="F9" s="8"/>
      <c r="G9" s="5"/>
      <c r="H9" s="5" t="s">
        <v>134</v>
      </c>
    </row>
    <row r="10" spans="1:8" x14ac:dyDescent="0.35">
      <c r="A10" s="5" t="s">
        <v>135</v>
      </c>
      <c r="B10" s="8" t="s">
        <v>136</v>
      </c>
      <c r="C10" s="8" t="s">
        <v>137</v>
      </c>
      <c r="D10" s="8"/>
      <c r="E10" s="8"/>
      <c r="F10" s="8"/>
      <c r="G10" s="5"/>
      <c r="H10" s="5" t="s">
        <v>134</v>
      </c>
    </row>
    <row r="11" spans="1:8" x14ac:dyDescent="0.35">
      <c r="A11" s="5" t="s">
        <v>138</v>
      </c>
      <c r="B11" s="8" t="s">
        <v>127</v>
      </c>
      <c r="C11" s="8" t="s">
        <v>131</v>
      </c>
      <c r="D11" s="8"/>
      <c r="E11" s="8"/>
      <c r="F11" s="8"/>
      <c r="G11" s="5"/>
      <c r="H11" s="5" t="s">
        <v>139</v>
      </c>
    </row>
    <row r="12" spans="1:8" x14ac:dyDescent="0.35">
      <c r="A12" s="6" t="s">
        <v>140</v>
      </c>
      <c r="B12" s="7"/>
      <c r="C12" s="7"/>
      <c r="D12" s="7"/>
      <c r="E12" s="7"/>
      <c r="F12" s="7"/>
      <c r="G12" s="6"/>
      <c r="H12" s="6"/>
    </row>
    <row r="13" spans="1:8" x14ac:dyDescent="0.35">
      <c r="A13" s="5" t="s">
        <v>141</v>
      </c>
      <c r="B13" s="8" t="s">
        <v>127</v>
      </c>
      <c r="C13" s="8" t="s">
        <v>131</v>
      </c>
      <c r="D13" s="8"/>
      <c r="E13" s="8"/>
      <c r="F13" s="8"/>
      <c r="G13" s="5"/>
      <c r="H13" s="5" t="s">
        <v>142</v>
      </c>
    </row>
    <row r="14" spans="1:8" x14ac:dyDescent="0.35">
      <c r="A14" s="5" t="s">
        <v>143</v>
      </c>
      <c r="B14" s="8" t="s">
        <v>127</v>
      </c>
      <c r="C14" s="8" t="s">
        <v>128</v>
      </c>
      <c r="D14" s="8"/>
      <c r="E14" s="8"/>
      <c r="F14" s="8"/>
      <c r="G14" s="5"/>
      <c r="H14" s="5" t="s">
        <v>144</v>
      </c>
    </row>
    <row r="15" spans="1:8" x14ac:dyDescent="0.35">
      <c r="A15" s="5" t="s">
        <v>145</v>
      </c>
      <c r="B15" s="8" t="s">
        <v>127</v>
      </c>
      <c r="C15" s="8" t="s">
        <v>146</v>
      </c>
      <c r="D15" s="8"/>
      <c r="E15" s="8"/>
      <c r="F15" s="8"/>
      <c r="G15" s="5"/>
      <c r="H15" s="5" t="s">
        <v>142</v>
      </c>
    </row>
    <row r="16" spans="1:8" x14ac:dyDescent="0.35">
      <c r="A16" s="5" t="s">
        <v>147</v>
      </c>
      <c r="B16" s="8" t="s">
        <v>136</v>
      </c>
      <c r="C16" s="8" t="s">
        <v>131</v>
      </c>
      <c r="D16" s="8"/>
      <c r="E16" s="8"/>
      <c r="F16" s="8"/>
      <c r="G16" s="5"/>
      <c r="H16" s="5" t="s">
        <v>142</v>
      </c>
    </row>
    <row r="17" spans="1:8" x14ac:dyDescent="0.35">
      <c r="A17" s="5" t="s">
        <v>148</v>
      </c>
      <c r="B17" s="8" t="s">
        <v>127</v>
      </c>
      <c r="C17" s="8" t="s">
        <v>149</v>
      </c>
      <c r="D17" s="8"/>
      <c r="E17" s="8"/>
      <c r="F17" s="8"/>
      <c r="G17" s="5"/>
      <c r="H17" s="5" t="s">
        <v>142</v>
      </c>
    </row>
    <row r="18" spans="1:8" x14ac:dyDescent="0.35">
      <c r="A18" s="6" t="s">
        <v>150</v>
      </c>
      <c r="B18" s="7"/>
      <c r="C18" s="7"/>
      <c r="D18" s="7"/>
      <c r="E18" s="7"/>
      <c r="F18" s="7"/>
      <c r="G18" s="6"/>
      <c r="H18" s="6"/>
    </row>
    <row r="19" spans="1:8" x14ac:dyDescent="0.35">
      <c r="A19" s="5" t="s">
        <v>151</v>
      </c>
      <c r="B19" s="8" t="s">
        <v>127</v>
      </c>
      <c r="C19" s="8" t="s">
        <v>152</v>
      </c>
      <c r="D19" s="8"/>
      <c r="E19" s="8"/>
      <c r="F19" s="8"/>
      <c r="G19" s="5"/>
      <c r="H19" s="5" t="s">
        <v>153</v>
      </c>
    </row>
    <row r="20" spans="1:8" x14ac:dyDescent="0.35">
      <c r="A20" s="5" t="s">
        <v>154</v>
      </c>
      <c r="B20" s="8" t="s">
        <v>136</v>
      </c>
      <c r="C20" s="8" t="s">
        <v>146</v>
      </c>
      <c r="D20" s="8"/>
      <c r="E20" s="8"/>
      <c r="F20" s="8"/>
      <c r="G20" s="5"/>
      <c r="H20" s="5" t="s">
        <v>153</v>
      </c>
    </row>
    <row r="21" spans="1:8" x14ac:dyDescent="0.35">
      <c r="A21" s="5" t="s">
        <v>155</v>
      </c>
      <c r="B21" s="8" t="s">
        <v>136</v>
      </c>
      <c r="C21" s="8" t="s">
        <v>131</v>
      </c>
      <c r="D21" s="8"/>
      <c r="E21" s="8"/>
      <c r="F21" s="8"/>
      <c r="G21" s="5"/>
      <c r="H21" s="5" t="s">
        <v>153</v>
      </c>
    </row>
    <row r="22" spans="1:8" x14ac:dyDescent="0.35">
      <c r="A22" s="5" t="s">
        <v>156</v>
      </c>
      <c r="B22" s="8" t="s">
        <v>136</v>
      </c>
      <c r="C22" s="8" t="s">
        <v>137</v>
      </c>
      <c r="D22" s="8"/>
      <c r="E22" s="8"/>
      <c r="F22" s="8"/>
      <c r="G22" s="5"/>
      <c r="H22" s="5" t="s">
        <v>153</v>
      </c>
    </row>
    <row r="23" spans="1:8" x14ac:dyDescent="0.35">
      <c r="A23" s="6" t="s">
        <v>157</v>
      </c>
      <c r="B23" s="7"/>
      <c r="C23" s="7"/>
      <c r="D23" s="7"/>
      <c r="E23" s="7"/>
      <c r="F23" s="7"/>
      <c r="G23" s="6"/>
      <c r="H23" s="6"/>
    </row>
    <row r="24" spans="1:8" x14ac:dyDescent="0.35">
      <c r="A24" s="5" t="s">
        <v>158</v>
      </c>
      <c r="B24" s="8" t="s">
        <v>127</v>
      </c>
      <c r="C24" s="8" t="s">
        <v>128</v>
      </c>
      <c r="D24" s="8"/>
      <c r="E24" s="8"/>
      <c r="F24" s="8"/>
      <c r="G24" s="5"/>
      <c r="H24" s="5" t="s">
        <v>159</v>
      </c>
    </row>
    <row r="25" spans="1:8" x14ac:dyDescent="0.35">
      <c r="A25" s="5" t="s">
        <v>160</v>
      </c>
      <c r="B25" s="8" t="s">
        <v>127</v>
      </c>
      <c r="C25" s="8" t="s">
        <v>146</v>
      </c>
      <c r="D25" s="8"/>
      <c r="E25" s="8"/>
      <c r="F25" s="8"/>
      <c r="G25" s="5"/>
      <c r="H25" s="5" t="s">
        <v>161</v>
      </c>
    </row>
    <row r="26" spans="1:8" x14ac:dyDescent="0.35">
      <c r="A26" s="5" t="s">
        <v>162</v>
      </c>
      <c r="B26" s="8" t="s">
        <v>136</v>
      </c>
      <c r="C26" s="8" t="s">
        <v>131</v>
      </c>
      <c r="D26" s="8"/>
      <c r="E26" s="8"/>
      <c r="F26" s="8"/>
      <c r="G26" s="5"/>
      <c r="H26" s="5" t="s">
        <v>163</v>
      </c>
    </row>
    <row r="27" spans="1:8" x14ac:dyDescent="0.35">
      <c r="A27" s="5" t="s">
        <v>164</v>
      </c>
      <c r="B27" s="8" t="s">
        <v>127</v>
      </c>
      <c r="C27" s="8" t="s">
        <v>146</v>
      </c>
      <c r="D27" s="8"/>
      <c r="E27" s="8"/>
      <c r="F27" s="8"/>
      <c r="G27" s="5"/>
      <c r="H27" s="5" t="s">
        <v>165</v>
      </c>
    </row>
    <row r="28" spans="1:8" x14ac:dyDescent="0.35">
      <c r="A28" s="6" t="s">
        <v>166</v>
      </c>
      <c r="B28" s="7"/>
      <c r="C28" s="7"/>
      <c r="D28" s="7"/>
      <c r="E28" s="7"/>
      <c r="F28" s="7"/>
      <c r="G28" s="6"/>
      <c r="H28" s="6"/>
    </row>
    <row r="29" spans="1:8" x14ac:dyDescent="0.35">
      <c r="A29" s="5" t="s">
        <v>167</v>
      </c>
      <c r="B29" s="8" t="s">
        <v>127</v>
      </c>
      <c r="C29" s="8" t="s">
        <v>128</v>
      </c>
      <c r="D29" s="8"/>
      <c r="E29" s="8"/>
      <c r="F29" s="8"/>
      <c r="G29" s="5"/>
      <c r="H29" s="5" t="s">
        <v>168</v>
      </c>
    </row>
    <row r="30" spans="1:8" x14ac:dyDescent="0.35">
      <c r="A30" s="5" t="s">
        <v>169</v>
      </c>
      <c r="B30" s="8" t="s">
        <v>127</v>
      </c>
      <c r="C30" s="8" t="s">
        <v>128</v>
      </c>
      <c r="D30" s="8"/>
      <c r="E30" s="8"/>
      <c r="F30" s="8"/>
      <c r="G30" s="5"/>
      <c r="H30" s="5" t="s">
        <v>168</v>
      </c>
    </row>
    <row r="31" spans="1:8" x14ac:dyDescent="0.35">
      <c r="A31" s="5" t="s">
        <v>170</v>
      </c>
      <c r="B31" s="8" t="s">
        <v>136</v>
      </c>
      <c r="C31" s="8" t="s">
        <v>131</v>
      </c>
      <c r="D31" s="8"/>
      <c r="E31" s="8"/>
      <c r="F31" s="8"/>
      <c r="G31" s="5"/>
      <c r="H31" s="5" t="s">
        <v>168</v>
      </c>
    </row>
    <row r="32" spans="1:8" x14ac:dyDescent="0.35">
      <c r="A32" s="5" t="s">
        <v>171</v>
      </c>
      <c r="B32" s="8" t="s">
        <v>127</v>
      </c>
      <c r="C32" s="8" t="s">
        <v>131</v>
      </c>
      <c r="D32" s="8"/>
      <c r="E32" s="8"/>
      <c r="F32" s="8"/>
      <c r="G32" s="5"/>
      <c r="H32" s="5" t="s">
        <v>142</v>
      </c>
    </row>
    <row r="34" spans="1:6" ht="31" x14ac:dyDescent="0.35">
      <c r="A34" s="28" t="s">
        <v>172</v>
      </c>
      <c r="B34" s="26"/>
      <c r="C34" s="26"/>
      <c r="D34" s="9" t="s">
        <v>173</v>
      </c>
      <c r="E34" s="9" t="s">
        <v>173</v>
      </c>
      <c r="F34" s="9" t="s">
        <v>173</v>
      </c>
    </row>
  </sheetData>
  <mergeCells count="3">
    <mergeCell ref="A3:H3"/>
    <mergeCell ref="A34:C3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"/>
  <sheetViews>
    <sheetView tabSelected="1" topLeftCell="A4" workbookViewId="0">
      <selection activeCell="G51" sqref="G51"/>
    </sheetView>
  </sheetViews>
  <sheetFormatPr defaultRowHeight="14.5" x14ac:dyDescent="0.35"/>
  <cols>
    <col min="1" max="1" width="32" customWidth="1"/>
    <col min="2" max="4" width="10" customWidth="1"/>
    <col min="5" max="5" width="12" customWidth="1"/>
    <col min="6" max="6" width="10" customWidth="1"/>
    <col min="7" max="7" width="12" customWidth="1"/>
    <col min="8" max="8" width="10" customWidth="1"/>
    <col min="9" max="9" width="12" customWidth="1"/>
    <col min="10" max="10" width="40" customWidth="1"/>
  </cols>
  <sheetData>
    <row r="1" spans="1:10" x14ac:dyDescent="0.35">
      <c r="A1" s="29" t="s">
        <v>174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x14ac:dyDescent="0.35">
      <c r="A3" t="s">
        <v>175</v>
      </c>
      <c r="B3" s="10" t="s">
        <v>176</v>
      </c>
      <c r="D3" s="10" t="s">
        <v>177</v>
      </c>
      <c r="F3" s="10" t="s">
        <v>178</v>
      </c>
    </row>
    <row r="5" spans="1:10" ht="31" x14ac:dyDescent="0.35">
      <c r="A5" s="3" t="s">
        <v>179</v>
      </c>
      <c r="B5" s="3" t="s">
        <v>119</v>
      </c>
      <c r="C5" s="3" t="s">
        <v>180</v>
      </c>
      <c r="D5" s="3" t="s">
        <v>181</v>
      </c>
      <c r="E5" s="3" t="s">
        <v>182</v>
      </c>
      <c r="F5" s="3" t="s">
        <v>183</v>
      </c>
      <c r="G5" s="3" t="s">
        <v>184</v>
      </c>
      <c r="H5" s="3" t="s">
        <v>185</v>
      </c>
      <c r="I5" s="3" t="s">
        <v>186</v>
      </c>
      <c r="J5" s="3" t="s">
        <v>123</v>
      </c>
    </row>
    <row r="6" spans="1:10" x14ac:dyDescent="0.35">
      <c r="A6" s="30" t="s">
        <v>187</v>
      </c>
      <c r="B6" s="26"/>
      <c r="C6" s="26"/>
      <c r="D6" s="26"/>
      <c r="E6" s="26"/>
      <c r="F6" s="26"/>
      <c r="G6" s="26"/>
      <c r="H6" s="26"/>
      <c r="I6" s="26"/>
      <c r="J6" s="26"/>
    </row>
    <row r="7" spans="1:10" x14ac:dyDescent="0.35">
      <c r="A7" s="5" t="s">
        <v>188</v>
      </c>
      <c r="B7" s="8" t="s">
        <v>189</v>
      </c>
      <c r="C7" s="8" t="s">
        <v>190</v>
      </c>
      <c r="D7" s="8" t="s">
        <v>191</v>
      </c>
      <c r="E7" s="8">
        <f>D7*0.6</f>
        <v>5.3999999999999995</v>
      </c>
      <c r="F7" s="8" t="s">
        <v>192</v>
      </c>
      <c r="G7" s="8">
        <f>F7*0.6</f>
        <v>4.8</v>
      </c>
      <c r="H7" s="8" t="s">
        <v>191</v>
      </c>
      <c r="I7" s="8">
        <f>H7*0.6</f>
        <v>5.3999999999999995</v>
      </c>
      <c r="J7" s="5" t="s">
        <v>193</v>
      </c>
    </row>
    <row r="8" spans="1:10" x14ac:dyDescent="0.35">
      <c r="A8" s="5" t="s">
        <v>194</v>
      </c>
      <c r="B8" s="8" t="s">
        <v>189</v>
      </c>
      <c r="C8" s="8" t="s">
        <v>190</v>
      </c>
      <c r="D8" s="8" t="s">
        <v>195</v>
      </c>
      <c r="E8" s="8">
        <f>D8*0.6</f>
        <v>4.2</v>
      </c>
      <c r="F8" s="8" t="s">
        <v>191</v>
      </c>
      <c r="G8" s="8">
        <f>F8*0.6</f>
        <v>5.3999999999999995</v>
      </c>
      <c r="H8" s="8" t="s">
        <v>192</v>
      </c>
      <c r="I8" s="8">
        <f>H8*0.6</f>
        <v>4.8</v>
      </c>
      <c r="J8" s="5" t="s">
        <v>196</v>
      </c>
    </row>
    <row r="9" spans="1:10" x14ac:dyDescent="0.35">
      <c r="A9" s="5" t="s">
        <v>197</v>
      </c>
      <c r="B9" s="8" t="s">
        <v>131</v>
      </c>
      <c r="C9" s="8" t="s">
        <v>190</v>
      </c>
      <c r="D9" s="8" t="s">
        <v>192</v>
      </c>
      <c r="E9" s="8">
        <f>D9*0.5</f>
        <v>4</v>
      </c>
      <c r="F9" s="8" t="s">
        <v>191</v>
      </c>
      <c r="G9" s="8">
        <f>F9*0.5</f>
        <v>4.5</v>
      </c>
      <c r="H9" s="8" t="s">
        <v>192</v>
      </c>
      <c r="I9" s="8">
        <f>H9*0.5</f>
        <v>4</v>
      </c>
      <c r="J9" s="5" t="s">
        <v>198</v>
      </c>
    </row>
    <row r="10" spans="1:10" x14ac:dyDescent="0.35">
      <c r="A10" s="5" t="s">
        <v>199</v>
      </c>
      <c r="B10" s="8" t="s">
        <v>131</v>
      </c>
      <c r="C10" s="8" t="s">
        <v>190</v>
      </c>
      <c r="D10" s="8" t="s">
        <v>195</v>
      </c>
      <c r="E10" s="8">
        <f>D10*0.5</f>
        <v>3.5</v>
      </c>
      <c r="F10" s="8" t="s">
        <v>192</v>
      </c>
      <c r="G10" s="8">
        <f>F10*0.5</f>
        <v>4</v>
      </c>
      <c r="H10" s="8" t="s">
        <v>192</v>
      </c>
      <c r="I10" s="8">
        <f>H10*0.5</f>
        <v>4</v>
      </c>
      <c r="J10" s="5" t="s">
        <v>200</v>
      </c>
    </row>
    <row r="11" spans="1:10" x14ac:dyDescent="0.35">
      <c r="A11" s="5" t="s">
        <v>201</v>
      </c>
      <c r="B11" s="8" t="s">
        <v>131</v>
      </c>
      <c r="C11" s="8" t="s">
        <v>190</v>
      </c>
      <c r="D11" s="8" t="s">
        <v>195</v>
      </c>
      <c r="E11" s="8">
        <f>D11*0.5</f>
        <v>3.5</v>
      </c>
      <c r="F11" s="8" t="s">
        <v>191</v>
      </c>
      <c r="G11" s="8">
        <f>F11*0.5</f>
        <v>4.5</v>
      </c>
      <c r="H11" s="8" t="s">
        <v>192</v>
      </c>
      <c r="I11" s="8">
        <f>H11*0.5</f>
        <v>4</v>
      </c>
      <c r="J11" s="5" t="s">
        <v>202</v>
      </c>
    </row>
    <row r="12" spans="1:10" x14ac:dyDescent="0.35">
      <c r="A12" s="5" t="s">
        <v>203</v>
      </c>
      <c r="B12" s="8" t="s">
        <v>131</v>
      </c>
      <c r="C12" s="8" t="s">
        <v>190</v>
      </c>
      <c r="D12" s="8" t="s">
        <v>192</v>
      </c>
      <c r="E12" s="8">
        <f>D12*0.5</f>
        <v>4</v>
      </c>
      <c r="F12" s="8" t="s">
        <v>191</v>
      </c>
      <c r="G12" s="8">
        <f>F12*0.5</f>
        <v>4.5</v>
      </c>
      <c r="H12" s="8" t="s">
        <v>195</v>
      </c>
      <c r="I12" s="8">
        <f>H12*0.5</f>
        <v>3.5</v>
      </c>
      <c r="J12" s="5" t="s">
        <v>204</v>
      </c>
    </row>
    <row r="13" spans="1:10" x14ac:dyDescent="0.35">
      <c r="A13" s="5" t="s">
        <v>205</v>
      </c>
      <c r="B13" s="8" t="s">
        <v>137</v>
      </c>
      <c r="C13" s="8" t="s">
        <v>190</v>
      </c>
      <c r="D13" s="8" t="s">
        <v>206</v>
      </c>
      <c r="E13" s="8">
        <f>D13*0.3</f>
        <v>1.7999999999999998</v>
      </c>
      <c r="F13" s="8" t="s">
        <v>191</v>
      </c>
      <c r="G13" s="8">
        <f>F13*0.3</f>
        <v>2.6999999999999997</v>
      </c>
      <c r="H13" s="8" t="s">
        <v>192</v>
      </c>
      <c r="I13" s="8">
        <f>H13*0.3</f>
        <v>2.4</v>
      </c>
      <c r="J13" s="5" t="s">
        <v>207</v>
      </c>
    </row>
    <row r="14" spans="1:10" x14ac:dyDescent="0.35">
      <c r="A14" s="6" t="s">
        <v>208</v>
      </c>
      <c r="B14" s="8"/>
      <c r="C14" s="8"/>
      <c r="D14" s="8"/>
      <c r="E14" s="8">
        <f>SUM(E7:E13)</f>
        <v>26.400000000000002</v>
      </c>
      <c r="F14" s="8"/>
      <c r="G14" s="8">
        <f>SUM(G7:G13)</f>
        <v>30.4</v>
      </c>
      <c r="H14" s="8"/>
      <c r="I14" s="8">
        <f>SUM(I7:I13)</f>
        <v>28.099999999999998</v>
      </c>
      <c r="J14" s="5"/>
    </row>
    <row r="15" spans="1:10" x14ac:dyDescent="0.35">
      <c r="A15" s="30" t="s">
        <v>209</v>
      </c>
      <c r="B15" s="26"/>
      <c r="C15" s="26"/>
      <c r="D15" s="26"/>
      <c r="E15" s="26"/>
      <c r="F15" s="26"/>
      <c r="G15" s="26"/>
      <c r="H15" s="26"/>
      <c r="I15" s="26"/>
      <c r="J15" s="26"/>
    </row>
    <row r="16" spans="1:10" x14ac:dyDescent="0.35">
      <c r="A16" s="5" t="s">
        <v>210</v>
      </c>
      <c r="B16" s="8" t="s">
        <v>131</v>
      </c>
      <c r="C16" s="8" t="s">
        <v>211</v>
      </c>
      <c r="D16" s="8" t="s">
        <v>212</v>
      </c>
      <c r="E16" s="8">
        <f>D16*1</f>
        <v>4</v>
      </c>
      <c r="F16" s="8" t="s">
        <v>211</v>
      </c>
      <c r="G16" s="8">
        <f>F16*1</f>
        <v>5</v>
      </c>
      <c r="H16" s="8" t="s">
        <v>212</v>
      </c>
      <c r="I16" s="8">
        <f>H16*1</f>
        <v>4</v>
      </c>
      <c r="J16" s="5" t="s">
        <v>213</v>
      </c>
    </row>
    <row r="17" spans="1:10" x14ac:dyDescent="0.35">
      <c r="A17" s="5" t="s">
        <v>214</v>
      </c>
      <c r="B17" s="8" t="s">
        <v>131</v>
      </c>
      <c r="C17" s="8" t="s">
        <v>211</v>
      </c>
      <c r="D17" s="8" t="s">
        <v>212</v>
      </c>
      <c r="E17" s="8">
        <f>D17*1</f>
        <v>4</v>
      </c>
      <c r="F17" s="8" t="s">
        <v>211</v>
      </c>
      <c r="G17" s="8">
        <f>F17*1</f>
        <v>5</v>
      </c>
      <c r="H17" s="8" t="s">
        <v>212</v>
      </c>
      <c r="I17" s="8">
        <f>H17*1</f>
        <v>4</v>
      </c>
      <c r="J17" s="5" t="s">
        <v>215</v>
      </c>
    </row>
    <row r="18" spans="1:10" x14ac:dyDescent="0.35">
      <c r="A18" s="5" t="s">
        <v>216</v>
      </c>
      <c r="B18" s="8" t="s">
        <v>217</v>
      </c>
      <c r="C18" s="8" t="s">
        <v>211</v>
      </c>
      <c r="D18" s="8" t="s">
        <v>218</v>
      </c>
      <c r="E18" s="8">
        <f>D18*0.8</f>
        <v>2.4000000000000004</v>
      </c>
      <c r="F18" s="8" t="s">
        <v>211</v>
      </c>
      <c r="G18" s="8">
        <f>F18*0.8</f>
        <v>4</v>
      </c>
      <c r="H18" s="8" t="s">
        <v>212</v>
      </c>
      <c r="I18" s="8">
        <f>H18*0.8</f>
        <v>3.2</v>
      </c>
      <c r="J18" s="5" t="s">
        <v>219</v>
      </c>
    </row>
    <row r="19" spans="1:10" x14ac:dyDescent="0.35">
      <c r="A19" s="5" t="s">
        <v>220</v>
      </c>
      <c r="B19" s="8" t="s">
        <v>217</v>
      </c>
      <c r="C19" s="8" t="s">
        <v>211</v>
      </c>
      <c r="D19" s="8" t="s">
        <v>212</v>
      </c>
      <c r="E19" s="8">
        <f>D19*0.8</f>
        <v>3.2</v>
      </c>
      <c r="F19" s="8" t="s">
        <v>211</v>
      </c>
      <c r="G19" s="8">
        <f>F19*0.8</f>
        <v>4</v>
      </c>
      <c r="H19" s="8" t="s">
        <v>212</v>
      </c>
      <c r="I19" s="8">
        <f>H19*0.8</f>
        <v>3.2</v>
      </c>
      <c r="J19" s="5" t="s">
        <v>221</v>
      </c>
    </row>
    <row r="20" spans="1:10" x14ac:dyDescent="0.35">
      <c r="A20" s="5" t="s">
        <v>222</v>
      </c>
      <c r="B20" s="8" t="s">
        <v>217</v>
      </c>
      <c r="C20" s="8" t="s">
        <v>211</v>
      </c>
      <c r="D20" s="8" t="s">
        <v>218</v>
      </c>
      <c r="E20" s="8">
        <f>D20*0.8</f>
        <v>2.4000000000000004</v>
      </c>
      <c r="F20" s="8" t="s">
        <v>211</v>
      </c>
      <c r="G20" s="8">
        <f>F20*0.8</f>
        <v>4</v>
      </c>
      <c r="H20" s="8" t="s">
        <v>212</v>
      </c>
      <c r="I20" s="8">
        <f>H20*0.8</f>
        <v>3.2</v>
      </c>
      <c r="J20" s="5" t="s">
        <v>223</v>
      </c>
    </row>
    <row r="21" spans="1:10" x14ac:dyDescent="0.35">
      <c r="A21" s="5" t="s">
        <v>224</v>
      </c>
      <c r="B21" s="8" t="s">
        <v>137</v>
      </c>
      <c r="C21" s="8" t="s">
        <v>211</v>
      </c>
      <c r="D21" s="8" t="s">
        <v>212</v>
      </c>
      <c r="E21" s="8">
        <f>D21*0.6</f>
        <v>2.4</v>
      </c>
      <c r="F21" s="8" t="s">
        <v>212</v>
      </c>
      <c r="G21" s="8">
        <f>F21*0.6</f>
        <v>2.4</v>
      </c>
      <c r="H21" s="8" t="s">
        <v>218</v>
      </c>
      <c r="I21" s="8">
        <f>H21*0.6</f>
        <v>1.7999999999999998</v>
      </c>
      <c r="J21" s="5" t="s">
        <v>225</v>
      </c>
    </row>
    <row r="22" spans="1:10" x14ac:dyDescent="0.35">
      <c r="A22" s="5" t="s">
        <v>226</v>
      </c>
      <c r="B22" s="8" t="s">
        <v>137</v>
      </c>
      <c r="C22" s="8" t="s">
        <v>211</v>
      </c>
      <c r="D22" s="8" t="s">
        <v>212</v>
      </c>
      <c r="E22" s="8">
        <f>D22*0.6</f>
        <v>2.4</v>
      </c>
      <c r="F22" s="8" t="s">
        <v>211</v>
      </c>
      <c r="G22" s="8">
        <f>F22*0.6</f>
        <v>3</v>
      </c>
      <c r="H22" s="8" t="s">
        <v>218</v>
      </c>
      <c r="I22" s="8">
        <f>H22*0.6</f>
        <v>1.7999999999999998</v>
      </c>
      <c r="J22" s="5" t="s">
        <v>227</v>
      </c>
    </row>
    <row r="23" spans="1:10" x14ac:dyDescent="0.35">
      <c r="A23" s="5" t="s">
        <v>228</v>
      </c>
      <c r="B23" s="8" t="s">
        <v>229</v>
      </c>
      <c r="C23" s="8" t="s">
        <v>211</v>
      </c>
      <c r="D23" s="8" t="s">
        <v>212</v>
      </c>
      <c r="E23" s="8">
        <f>D23*0.4</f>
        <v>1.6</v>
      </c>
      <c r="F23" s="8" t="s">
        <v>211</v>
      </c>
      <c r="G23" s="8">
        <f>F23*0.4</f>
        <v>2</v>
      </c>
      <c r="H23" s="8" t="s">
        <v>212</v>
      </c>
      <c r="I23" s="8">
        <f>H23*0.4</f>
        <v>1.6</v>
      </c>
      <c r="J23" s="5" t="s">
        <v>230</v>
      </c>
    </row>
    <row r="24" spans="1:10" x14ac:dyDescent="0.35">
      <c r="A24" s="6" t="s">
        <v>231</v>
      </c>
      <c r="B24" s="8"/>
      <c r="C24" s="8"/>
      <c r="D24" s="8"/>
      <c r="E24" s="8">
        <f>SUM(E16:E23)</f>
        <v>22.4</v>
      </c>
      <c r="F24" s="8"/>
      <c r="G24" s="8">
        <f>SUM(G16:G23)</f>
        <v>29.4</v>
      </c>
      <c r="H24" s="8"/>
      <c r="I24" s="8">
        <f>SUM(I16:I23)</f>
        <v>22.8</v>
      </c>
      <c r="J24" s="5"/>
    </row>
    <row r="25" spans="1:10" x14ac:dyDescent="0.35">
      <c r="A25" s="30" t="s">
        <v>232</v>
      </c>
      <c r="B25" s="26"/>
      <c r="C25" s="26"/>
      <c r="D25" s="26"/>
      <c r="E25" s="26"/>
      <c r="F25" s="26"/>
      <c r="G25" s="26"/>
      <c r="H25" s="26"/>
      <c r="I25" s="26"/>
      <c r="J25" s="26"/>
    </row>
    <row r="26" spans="1:10" x14ac:dyDescent="0.35">
      <c r="A26" s="5" t="s">
        <v>233</v>
      </c>
      <c r="B26" s="8" t="s">
        <v>137</v>
      </c>
      <c r="C26" s="8" t="s">
        <v>211</v>
      </c>
      <c r="D26" s="8" t="s">
        <v>218</v>
      </c>
      <c r="E26" s="8">
        <f>D26*0.6</f>
        <v>1.7999999999999998</v>
      </c>
      <c r="F26" s="8" t="s">
        <v>211</v>
      </c>
      <c r="G26" s="8">
        <f>F26*0.6</f>
        <v>3</v>
      </c>
      <c r="H26" s="8" t="s">
        <v>212</v>
      </c>
      <c r="I26" s="8">
        <f>H26*0.6</f>
        <v>2.4</v>
      </c>
      <c r="J26" s="5" t="s">
        <v>234</v>
      </c>
    </row>
    <row r="27" spans="1:10" x14ac:dyDescent="0.35">
      <c r="A27" s="5" t="s">
        <v>235</v>
      </c>
      <c r="B27" s="8" t="s">
        <v>137</v>
      </c>
      <c r="C27" s="8" t="s">
        <v>211</v>
      </c>
      <c r="D27" s="8" t="s">
        <v>212</v>
      </c>
      <c r="E27" s="8">
        <f>D27*0.6</f>
        <v>2.4</v>
      </c>
      <c r="F27" s="8" t="s">
        <v>211</v>
      </c>
      <c r="G27" s="8">
        <f>F27*0.6</f>
        <v>3</v>
      </c>
      <c r="H27" s="8" t="s">
        <v>212</v>
      </c>
      <c r="I27" s="8">
        <f>H27*0.6</f>
        <v>2.4</v>
      </c>
      <c r="J27" s="5" t="s">
        <v>236</v>
      </c>
    </row>
    <row r="28" spans="1:10" x14ac:dyDescent="0.35">
      <c r="A28" s="5" t="s">
        <v>237</v>
      </c>
      <c r="B28" s="8" t="s">
        <v>137</v>
      </c>
      <c r="C28" s="8" t="s">
        <v>211</v>
      </c>
      <c r="D28" s="8" t="s">
        <v>218</v>
      </c>
      <c r="E28" s="8">
        <f>D28*0.6</f>
        <v>1.7999999999999998</v>
      </c>
      <c r="F28" s="8" t="s">
        <v>211</v>
      </c>
      <c r="G28" s="8">
        <f>F28*0.6</f>
        <v>3</v>
      </c>
      <c r="H28" s="8" t="s">
        <v>212</v>
      </c>
      <c r="I28" s="8">
        <f>H28*0.6</f>
        <v>2.4</v>
      </c>
      <c r="J28" s="5" t="s">
        <v>238</v>
      </c>
    </row>
    <row r="29" spans="1:10" x14ac:dyDescent="0.35">
      <c r="A29" s="5" t="s">
        <v>239</v>
      </c>
      <c r="B29" s="8" t="s">
        <v>137</v>
      </c>
      <c r="C29" s="8" t="s">
        <v>211</v>
      </c>
      <c r="D29" s="8" t="s">
        <v>240</v>
      </c>
      <c r="E29" s="8">
        <f>D29*0.6</f>
        <v>1.2</v>
      </c>
      <c r="F29" s="8" t="s">
        <v>211</v>
      </c>
      <c r="G29" s="8">
        <f>F29*0.6</f>
        <v>3</v>
      </c>
      <c r="H29" s="8" t="s">
        <v>212</v>
      </c>
      <c r="I29" s="8">
        <f>H29*0.6</f>
        <v>2.4</v>
      </c>
      <c r="J29" s="5" t="s">
        <v>241</v>
      </c>
    </row>
    <row r="30" spans="1:10" x14ac:dyDescent="0.35">
      <c r="A30" s="5" t="s">
        <v>242</v>
      </c>
      <c r="B30" s="8" t="s">
        <v>229</v>
      </c>
      <c r="C30" s="8" t="s">
        <v>211</v>
      </c>
      <c r="D30" s="8" t="s">
        <v>218</v>
      </c>
      <c r="E30" s="8">
        <f>D30*0.4</f>
        <v>1.2000000000000002</v>
      </c>
      <c r="F30" s="8" t="s">
        <v>211</v>
      </c>
      <c r="G30" s="8">
        <f>F30*0.4</f>
        <v>2</v>
      </c>
      <c r="H30" s="8" t="s">
        <v>212</v>
      </c>
      <c r="I30" s="8">
        <f>H30*0.4</f>
        <v>1.6</v>
      </c>
      <c r="J30" s="5" t="s">
        <v>243</v>
      </c>
    </row>
    <row r="31" spans="1:10" x14ac:dyDescent="0.35">
      <c r="A31" s="5" t="s">
        <v>244</v>
      </c>
      <c r="B31" s="8" t="s">
        <v>229</v>
      </c>
      <c r="C31" s="8" t="s">
        <v>211</v>
      </c>
      <c r="D31" s="8" t="s">
        <v>240</v>
      </c>
      <c r="E31" s="8">
        <f>D31*0.4</f>
        <v>0.8</v>
      </c>
      <c r="F31" s="8" t="s">
        <v>211</v>
      </c>
      <c r="G31" s="8">
        <f>F31*0.4</f>
        <v>2</v>
      </c>
      <c r="H31" s="8" t="s">
        <v>218</v>
      </c>
      <c r="I31" s="8">
        <f>H31*0.4</f>
        <v>1.2000000000000002</v>
      </c>
      <c r="J31" s="5" t="s">
        <v>245</v>
      </c>
    </row>
    <row r="32" spans="1:10" x14ac:dyDescent="0.35">
      <c r="A32" s="5" t="s">
        <v>246</v>
      </c>
      <c r="B32" s="8" t="s">
        <v>229</v>
      </c>
      <c r="C32" s="8" t="s">
        <v>211</v>
      </c>
      <c r="D32" s="8" t="s">
        <v>218</v>
      </c>
      <c r="E32" s="8">
        <f>D32*0.4</f>
        <v>1.2000000000000002</v>
      </c>
      <c r="F32" s="8" t="s">
        <v>211</v>
      </c>
      <c r="G32" s="8">
        <f>F32*0.4</f>
        <v>2</v>
      </c>
      <c r="H32" s="8" t="s">
        <v>212</v>
      </c>
      <c r="I32" s="8">
        <f>H32*0.4</f>
        <v>1.6</v>
      </c>
      <c r="J32" s="5" t="s">
        <v>247</v>
      </c>
    </row>
    <row r="33" spans="1:10" x14ac:dyDescent="0.35">
      <c r="A33" s="5" t="s">
        <v>248</v>
      </c>
      <c r="B33" s="8" t="s">
        <v>229</v>
      </c>
      <c r="C33" s="8" t="s">
        <v>211</v>
      </c>
      <c r="D33" s="8" t="s">
        <v>212</v>
      </c>
      <c r="E33" s="8">
        <f>D33*0.4</f>
        <v>1.6</v>
      </c>
      <c r="F33" s="8" t="s">
        <v>211</v>
      </c>
      <c r="G33" s="8">
        <f>F33*0.4</f>
        <v>2</v>
      </c>
      <c r="H33" s="8" t="s">
        <v>212</v>
      </c>
      <c r="I33" s="8">
        <f>H33*0.4</f>
        <v>1.6</v>
      </c>
      <c r="J33" s="5" t="s">
        <v>249</v>
      </c>
    </row>
    <row r="34" spans="1:10" x14ac:dyDescent="0.35">
      <c r="A34" s="6" t="s">
        <v>250</v>
      </c>
      <c r="B34" s="8"/>
      <c r="C34" s="8"/>
      <c r="D34" s="8"/>
      <c r="E34" s="8">
        <f>SUM(E26:E33)</f>
        <v>11.999999999999998</v>
      </c>
      <c r="F34" s="8"/>
      <c r="G34" s="8">
        <f>SUM(G26:G33)</f>
        <v>20</v>
      </c>
      <c r="H34" s="8"/>
      <c r="I34" s="8">
        <f>SUM(I26:I33)</f>
        <v>15.599999999999998</v>
      </c>
      <c r="J34" s="5"/>
    </row>
    <row r="35" spans="1:10" x14ac:dyDescent="0.35">
      <c r="A35" s="30" t="s">
        <v>251</v>
      </c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35">
      <c r="A36" s="5" t="s">
        <v>252</v>
      </c>
      <c r="B36" s="8" t="s">
        <v>229</v>
      </c>
      <c r="C36" s="8" t="s">
        <v>218</v>
      </c>
      <c r="D36" s="8" t="s">
        <v>240</v>
      </c>
      <c r="E36" s="8">
        <f>D36*0.667</f>
        <v>1.3340000000000001</v>
      </c>
      <c r="F36" s="8" t="s">
        <v>218</v>
      </c>
      <c r="G36" s="8">
        <f>F36*0.667</f>
        <v>2.0010000000000003</v>
      </c>
      <c r="H36" s="8" t="s">
        <v>218</v>
      </c>
      <c r="I36" s="8">
        <f>H36*0.667</f>
        <v>2.0010000000000003</v>
      </c>
      <c r="J36" s="5" t="s">
        <v>253</v>
      </c>
    </row>
    <row r="37" spans="1:10" x14ac:dyDescent="0.35">
      <c r="A37" s="5" t="s">
        <v>254</v>
      </c>
      <c r="B37" s="8" t="s">
        <v>229</v>
      </c>
      <c r="C37" s="8" t="s">
        <v>218</v>
      </c>
      <c r="D37" s="8" t="s">
        <v>240</v>
      </c>
      <c r="E37" s="8">
        <f>D37*0.667</f>
        <v>1.3340000000000001</v>
      </c>
      <c r="F37" s="8" t="s">
        <v>218</v>
      </c>
      <c r="G37" s="8">
        <f>F37*0.667</f>
        <v>2.0010000000000003</v>
      </c>
      <c r="H37" s="8" t="s">
        <v>218</v>
      </c>
      <c r="I37" s="8">
        <f>H37*0.667</f>
        <v>2.0010000000000003</v>
      </c>
      <c r="J37" s="5" t="s">
        <v>255</v>
      </c>
    </row>
    <row r="38" spans="1:10" x14ac:dyDescent="0.35">
      <c r="A38" s="5" t="s">
        <v>256</v>
      </c>
      <c r="B38" s="8" t="s">
        <v>229</v>
      </c>
      <c r="C38" s="8" t="s">
        <v>218</v>
      </c>
      <c r="D38" s="8" t="s">
        <v>240</v>
      </c>
      <c r="E38" s="8">
        <f>D38*0.667</f>
        <v>1.3340000000000001</v>
      </c>
      <c r="F38" s="8" t="s">
        <v>218</v>
      </c>
      <c r="G38" s="8">
        <f>F38*0.667</f>
        <v>2.0010000000000003</v>
      </c>
      <c r="H38" s="8" t="s">
        <v>218</v>
      </c>
      <c r="I38" s="8">
        <f>H38*0.667</f>
        <v>2.0010000000000003</v>
      </c>
      <c r="J38" s="5" t="s">
        <v>257</v>
      </c>
    </row>
    <row r="39" spans="1:10" x14ac:dyDescent="0.35">
      <c r="A39" s="5" t="s">
        <v>258</v>
      </c>
      <c r="B39" s="8" t="s">
        <v>229</v>
      </c>
      <c r="C39" s="8" t="s">
        <v>218</v>
      </c>
      <c r="D39" s="8" t="s">
        <v>259</v>
      </c>
      <c r="E39" s="8">
        <f>D39*0.667</f>
        <v>0.66700000000000004</v>
      </c>
      <c r="F39" s="8" t="s">
        <v>218</v>
      </c>
      <c r="G39" s="8">
        <f>F39*0.667</f>
        <v>2.0010000000000003</v>
      </c>
      <c r="H39" s="8" t="s">
        <v>218</v>
      </c>
      <c r="I39" s="8">
        <f>H39*0.667</f>
        <v>2.0010000000000003</v>
      </c>
      <c r="J39" s="5" t="s">
        <v>260</v>
      </c>
    </row>
    <row r="40" spans="1:10" x14ac:dyDescent="0.35">
      <c r="A40" s="5" t="s">
        <v>261</v>
      </c>
      <c r="B40" s="8" t="s">
        <v>262</v>
      </c>
      <c r="C40" s="8" t="s">
        <v>218</v>
      </c>
      <c r="D40" s="8" t="s">
        <v>240</v>
      </c>
      <c r="E40" s="8">
        <f>D40*0.333</f>
        <v>0.66600000000000004</v>
      </c>
      <c r="F40" s="8" t="s">
        <v>218</v>
      </c>
      <c r="G40" s="8">
        <f>F40*0.333</f>
        <v>0.99900000000000011</v>
      </c>
      <c r="H40" s="8" t="s">
        <v>218</v>
      </c>
      <c r="I40" s="8">
        <f>H40*0.333</f>
        <v>0.99900000000000011</v>
      </c>
      <c r="J40" s="5" t="s">
        <v>263</v>
      </c>
    </row>
    <row r="41" spans="1:10" x14ac:dyDescent="0.35">
      <c r="A41" s="5" t="s">
        <v>264</v>
      </c>
      <c r="B41" s="8" t="s">
        <v>262</v>
      </c>
      <c r="C41" s="8" t="s">
        <v>218</v>
      </c>
      <c r="D41" s="8" t="s">
        <v>259</v>
      </c>
      <c r="E41" s="8">
        <f>D41*0.333</f>
        <v>0.33300000000000002</v>
      </c>
      <c r="F41" s="8" t="s">
        <v>218</v>
      </c>
      <c r="G41" s="8">
        <f>F41*0.333</f>
        <v>0.99900000000000011</v>
      </c>
      <c r="H41" s="8" t="s">
        <v>218</v>
      </c>
      <c r="I41" s="8">
        <f>H41*0.333</f>
        <v>0.99900000000000011</v>
      </c>
      <c r="J41" s="5" t="s">
        <v>265</v>
      </c>
    </row>
    <row r="42" spans="1:10" x14ac:dyDescent="0.35">
      <c r="A42" s="6" t="s">
        <v>266</v>
      </c>
      <c r="B42" s="8"/>
      <c r="C42" s="8"/>
      <c r="D42" s="8"/>
      <c r="E42" s="8">
        <f>SUM(E36:E41)</f>
        <v>5.668000000000001</v>
      </c>
      <c r="F42" s="8"/>
      <c r="G42" s="8">
        <f>SUM(G36:G41)</f>
        <v>10.002000000000002</v>
      </c>
      <c r="H42" s="8"/>
      <c r="I42" s="8">
        <f>SUM(I36:I41)</f>
        <v>10.002000000000002</v>
      </c>
      <c r="J42" s="5"/>
    </row>
    <row r="43" spans="1:10" x14ac:dyDescent="0.35">
      <c r="A43" s="30" t="s">
        <v>267</v>
      </c>
      <c r="B43" s="26"/>
      <c r="C43" s="26"/>
      <c r="D43" s="26"/>
      <c r="E43" s="26"/>
      <c r="F43" s="26"/>
      <c r="G43" s="26"/>
      <c r="H43" s="26"/>
      <c r="I43" s="26"/>
      <c r="J43" s="26"/>
    </row>
    <row r="44" spans="1:10" x14ac:dyDescent="0.35">
      <c r="A44" s="5" t="s">
        <v>268</v>
      </c>
      <c r="B44" s="8" t="s">
        <v>269</v>
      </c>
      <c r="C44" s="8" t="s">
        <v>212</v>
      </c>
      <c r="D44" s="8" t="s">
        <v>212</v>
      </c>
      <c r="E44" s="8">
        <f>D44*0.375</f>
        <v>1.5</v>
      </c>
      <c r="F44" s="8" t="s">
        <v>218</v>
      </c>
      <c r="G44" s="8">
        <f>F44*0.375</f>
        <v>1.125</v>
      </c>
      <c r="H44" s="8" t="s">
        <v>218</v>
      </c>
      <c r="I44" s="8">
        <f>H44*0.375</f>
        <v>1.125</v>
      </c>
      <c r="J44" s="5" t="s">
        <v>270</v>
      </c>
    </row>
    <row r="45" spans="1:10" x14ac:dyDescent="0.35">
      <c r="A45" s="5" t="s">
        <v>271</v>
      </c>
      <c r="B45" s="8" t="s">
        <v>269</v>
      </c>
      <c r="C45" s="8" t="s">
        <v>212</v>
      </c>
      <c r="D45" s="8" t="s">
        <v>212</v>
      </c>
      <c r="E45" s="8">
        <f>D45*0.375</f>
        <v>1.5</v>
      </c>
      <c r="F45" s="8" t="s">
        <v>240</v>
      </c>
      <c r="G45" s="8">
        <f>F45*0.375</f>
        <v>0.75</v>
      </c>
      <c r="H45" s="8" t="s">
        <v>218</v>
      </c>
      <c r="I45" s="8">
        <f>H45*0.375</f>
        <v>1.125</v>
      </c>
      <c r="J45" s="5" t="s">
        <v>272</v>
      </c>
    </row>
    <row r="46" spans="1:10" x14ac:dyDescent="0.35">
      <c r="A46" s="5" t="s">
        <v>273</v>
      </c>
      <c r="B46" s="8" t="s">
        <v>262</v>
      </c>
      <c r="C46" s="8" t="s">
        <v>212</v>
      </c>
      <c r="D46" s="8" t="s">
        <v>212</v>
      </c>
      <c r="E46" s="8">
        <f>D46*0.25</f>
        <v>1</v>
      </c>
      <c r="F46" s="8" t="s">
        <v>240</v>
      </c>
      <c r="G46" s="8">
        <f>F46*0.25</f>
        <v>0.5</v>
      </c>
      <c r="H46" s="8" t="s">
        <v>218</v>
      </c>
      <c r="I46" s="8">
        <f>H46*0.25</f>
        <v>0.75</v>
      </c>
      <c r="J46" s="5" t="s">
        <v>274</v>
      </c>
    </row>
    <row r="47" spans="1:10" x14ac:dyDescent="0.35">
      <c r="A47" s="5" t="s">
        <v>275</v>
      </c>
      <c r="B47" s="8" t="s">
        <v>262</v>
      </c>
      <c r="C47" s="8" t="s">
        <v>212</v>
      </c>
      <c r="D47" s="8" t="s">
        <v>218</v>
      </c>
      <c r="E47" s="8">
        <f>D47*0.25</f>
        <v>0.75</v>
      </c>
      <c r="F47" s="8" t="s">
        <v>218</v>
      </c>
      <c r="G47" s="8">
        <f>F47*0.25</f>
        <v>0.75</v>
      </c>
      <c r="H47" s="8" t="s">
        <v>218</v>
      </c>
      <c r="I47" s="8">
        <f>H47*0.25</f>
        <v>0.75</v>
      </c>
      <c r="J47" s="5" t="s">
        <v>276</v>
      </c>
    </row>
    <row r="48" spans="1:10" x14ac:dyDescent="0.35">
      <c r="A48" s="6" t="s">
        <v>277</v>
      </c>
      <c r="B48" s="8"/>
      <c r="C48" s="8"/>
      <c r="D48" s="8"/>
      <c r="E48" s="8">
        <f>SUM(E44:E47)</f>
        <v>4.75</v>
      </c>
      <c r="F48" s="8"/>
      <c r="G48" s="8">
        <f>SUM(G44:G47)</f>
        <v>3.125</v>
      </c>
      <c r="H48" s="8"/>
      <c r="I48" s="8">
        <f>SUM(I44:I47)</f>
        <v>3.75</v>
      </c>
      <c r="J48" s="5"/>
    </row>
    <row r="49" spans="1:10" x14ac:dyDescent="0.35">
      <c r="A49" s="5"/>
      <c r="B49" s="8"/>
      <c r="C49" s="8"/>
      <c r="D49" s="8"/>
      <c r="E49" s="8"/>
      <c r="F49" s="8"/>
      <c r="G49" s="8"/>
      <c r="H49" s="8"/>
      <c r="I49" s="8"/>
      <c r="J49" s="5"/>
    </row>
    <row r="50" spans="1:10" x14ac:dyDescent="0.35">
      <c r="A50" s="31" t="s">
        <v>278</v>
      </c>
      <c r="B50" s="26"/>
      <c r="C50" s="26"/>
      <c r="D50" s="26"/>
      <c r="E50" s="8">
        <f>E14+E24+E34+E42+E48</f>
        <v>71.218000000000004</v>
      </c>
      <c r="F50" s="8"/>
      <c r="G50" s="8">
        <f>G14+G24+G34+G42+G48</f>
        <v>92.926999999999992</v>
      </c>
      <c r="H50" s="8"/>
      <c r="I50" s="8">
        <f>I14+I24+I34+I42+I48</f>
        <v>80.25200000000001</v>
      </c>
      <c r="J50" s="8"/>
    </row>
    <row r="51" spans="1:10" x14ac:dyDescent="0.35">
      <c r="A51" s="5" t="s">
        <v>279</v>
      </c>
      <c r="B51" s="8"/>
      <c r="C51" s="8"/>
      <c r="D51" s="8"/>
      <c r="E51" s="38" t="str">
        <f>IF(E50&gt;=90,"Excellent",IF(E50&gt;=80,"Good",IF(E50&gt;=70,"Acceptable",IF(E50&gt;=60,"Marginal","Not Recommended"))))</f>
        <v>Acceptable</v>
      </c>
      <c r="F51" s="8"/>
      <c r="G51" s="39" t="str">
        <f>IF(G50&gt;=90,"Excellent",IF(G50&gt;=80,"Good",IF(G50&gt;=70,"Acceptable",IF(G50&gt;=60,"Marginal","Not Recommended"))))</f>
        <v>Excellent</v>
      </c>
      <c r="H51" s="8"/>
      <c r="I51" s="37" t="str">
        <f>IF(I50&gt;=90,"Excellent",IF(I50&gt;=80,"Good",IF(I50&gt;=70,"Acceptable",IF(I50&gt;=60,"Marginal","Not Recommended"))))</f>
        <v>Good</v>
      </c>
      <c r="J51" s="5"/>
    </row>
    <row r="52" spans="1:10" ht="38" customHeight="1" x14ac:dyDescent="0.35">
      <c r="A52" s="5" t="s">
        <v>280</v>
      </c>
      <c r="B52" s="8"/>
      <c r="C52" s="8"/>
      <c r="D52" s="8"/>
      <c r="E52" s="8" t="str">
        <f>IF(E50=MAX($E$50,$G$50,$I$50),"🏆 TOP CHOICE","")</f>
        <v/>
      </c>
      <c r="F52" s="8"/>
      <c r="G52" s="36" t="str">
        <f>IF(G50=MAX($E$50,$G$50,$I$50),"🏆 TOP CHOICE","")</f>
        <v>🏆 TOP CHOICE</v>
      </c>
      <c r="H52" s="8"/>
      <c r="I52" s="8" t="str">
        <f>IF(I50=MAX($E$50,$G$50,$I$50),"🏆 TOP CHOICE","")</f>
        <v/>
      </c>
      <c r="J52" s="5"/>
    </row>
  </sheetData>
  <mergeCells count="7">
    <mergeCell ref="A1:J1"/>
    <mergeCell ref="A6:J6"/>
    <mergeCell ref="A50:D50"/>
    <mergeCell ref="A35:J35"/>
    <mergeCell ref="A15:J15"/>
    <mergeCell ref="A43:J43"/>
    <mergeCell ref="A25:J25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>
      <selection sqref="A1:H1"/>
    </sheetView>
  </sheetViews>
  <sheetFormatPr defaultRowHeight="14.5" x14ac:dyDescent="0.35"/>
  <cols>
    <col min="1" max="2" width="30" customWidth="1"/>
    <col min="3" max="3" width="10" customWidth="1"/>
    <col min="4" max="6" width="15" customWidth="1"/>
    <col min="7" max="9" width="25" customWidth="1"/>
  </cols>
  <sheetData>
    <row r="1" spans="1:9" x14ac:dyDescent="0.35">
      <c r="A1" s="29" t="s">
        <v>281</v>
      </c>
      <c r="B1" s="26"/>
      <c r="C1" s="26"/>
      <c r="D1" s="26"/>
      <c r="E1" s="26"/>
      <c r="F1" s="26"/>
      <c r="G1" s="26"/>
      <c r="H1" s="26"/>
    </row>
    <row r="3" spans="1:9" x14ac:dyDescent="0.35">
      <c r="A3" t="s">
        <v>282</v>
      </c>
      <c r="D3" t="s">
        <v>283</v>
      </c>
    </row>
    <row r="4" spans="1:9" x14ac:dyDescent="0.35">
      <c r="A4" t="s">
        <v>284</v>
      </c>
      <c r="B4" t="s">
        <v>285</v>
      </c>
      <c r="D4" t="s">
        <v>286</v>
      </c>
    </row>
    <row r="6" spans="1:9" ht="15.5" x14ac:dyDescent="0.35">
      <c r="A6" s="3" t="s">
        <v>287</v>
      </c>
      <c r="B6" s="3" t="s">
        <v>288</v>
      </c>
      <c r="C6" s="3" t="s">
        <v>119</v>
      </c>
      <c r="D6" s="3" t="s">
        <v>289</v>
      </c>
      <c r="E6" s="3" t="s">
        <v>290</v>
      </c>
      <c r="F6" s="3" t="s">
        <v>291</v>
      </c>
      <c r="G6" s="3" t="s">
        <v>292</v>
      </c>
      <c r="H6" s="3" t="s">
        <v>293</v>
      </c>
      <c r="I6" s="3" t="s">
        <v>294</v>
      </c>
    </row>
    <row r="7" spans="1:9" x14ac:dyDescent="0.35">
      <c r="A7" s="6" t="s">
        <v>295</v>
      </c>
      <c r="B7" s="5"/>
      <c r="C7" s="8"/>
      <c r="D7" s="8"/>
      <c r="E7" s="8"/>
      <c r="F7" s="8"/>
      <c r="G7" s="5"/>
      <c r="H7" s="5"/>
      <c r="I7" s="5"/>
    </row>
    <row r="8" spans="1:9" x14ac:dyDescent="0.35">
      <c r="A8" s="5"/>
      <c r="B8" s="5" t="s">
        <v>296</v>
      </c>
      <c r="C8" s="8" t="s">
        <v>128</v>
      </c>
      <c r="D8" s="8"/>
      <c r="E8" s="8"/>
      <c r="F8" s="8"/>
      <c r="G8" s="5"/>
      <c r="H8" s="5"/>
      <c r="I8" s="5"/>
    </row>
    <row r="9" spans="1:9" x14ac:dyDescent="0.35">
      <c r="A9" s="5"/>
      <c r="B9" s="5" t="s">
        <v>297</v>
      </c>
      <c r="C9" s="8" t="s">
        <v>128</v>
      </c>
      <c r="D9" s="8"/>
      <c r="E9" s="8"/>
      <c r="F9" s="8"/>
      <c r="G9" s="5"/>
      <c r="H9" s="5"/>
      <c r="I9" s="5"/>
    </row>
    <row r="10" spans="1:9" x14ac:dyDescent="0.35">
      <c r="A10" s="5"/>
      <c r="B10" s="5" t="s">
        <v>298</v>
      </c>
      <c r="C10" s="8" t="s">
        <v>146</v>
      </c>
      <c r="D10" s="8"/>
      <c r="E10" s="8"/>
      <c r="F10" s="8"/>
      <c r="G10" s="5"/>
      <c r="H10" s="5"/>
      <c r="I10" s="5"/>
    </row>
    <row r="11" spans="1:9" x14ac:dyDescent="0.35">
      <c r="A11" s="5"/>
      <c r="B11" s="5" t="s">
        <v>299</v>
      </c>
      <c r="C11" s="8" t="s">
        <v>149</v>
      </c>
      <c r="D11" s="8"/>
      <c r="E11" s="8"/>
      <c r="F11" s="8"/>
      <c r="G11" s="5"/>
      <c r="H11" s="5"/>
      <c r="I11" s="5"/>
    </row>
    <row r="12" spans="1:9" x14ac:dyDescent="0.35">
      <c r="A12" s="6" t="s">
        <v>300</v>
      </c>
      <c r="B12" s="5"/>
      <c r="C12" s="8"/>
      <c r="D12" s="8"/>
      <c r="E12" s="8"/>
      <c r="F12" s="8"/>
      <c r="G12" s="5"/>
      <c r="H12" s="5"/>
      <c r="I12" s="5"/>
    </row>
    <row r="13" spans="1:9" x14ac:dyDescent="0.35">
      <c r="A13" s="5"/>
      <c r="B13" s="5" t="s">
        <v>301</v>
      </c>
      <c r="C13" s="8" t="s">
        <v>146</v>
      </c>
      <c r="D13" s="8"/>
      <c r="E13" s="8"/>
      <c r="F13" s="8"/>
      <c r="G13" s="5"/>
      <c r="H13" s="5"/>
      <c r="I13" s="5"/>
    </row>
    <row r="14" spans="1:9" x14ac:dyDescent="0.35">
      <c r="A14" s="5"/>
      <c r="B14" s="5" t="s">
        <v>302</v>
      </c>
      <c r="C14" s="8" t="s">
        <v>146</v>
      </c>
      <c r="D14" s="8"/>
      <c r="E14" s="8"/>
      <c r="F14" s="8"/>
      <c r="G14" s="5"/>
      <c r="H14" s="5"/>
      <c r="I14" s="5"/>
    </row>
    <row r="15" spans="1:9" x14ac:dyDescent="0.35">
      <c r="A15" s="5"/>
      <c r="B15" s="5" t="s">
        <v>303</v>
      </c>
      <c r="C15" s="8" t="s">
        <v>149</v>
      </c>
      <c r="D15" s="8"/>
      <c r="E15" s="8"/>
      <c r="F15" s="8"/>
      <c r="G15" s="5"/>
      <c r="H15" s="5"/>
      <c r="I15" s="5"/>
    </row>
    <row r="16" spans="1:9" x14ac:dyDescent="0.35">
      <c r="A16" s="5"/>
      <c r="B16" s="5" t="s">
        <v>304</v>
      </c>
      <c r="C16" s="8" t="s">
        <v>149</v>
      </c>
      <c r="D16" s="8"/>
      <c r="E16" s="8"/>
      <c r="F16" s="8"/>
      <c r="G16" s="5"/>
      <c r="H16" s="5"/>
      <c r="I16" s="5"/>
    </row>
    <row r="17" spans="1:9" x14ac:dyDescent="0.35">
      <c r="A17" s="6" t="s">
        <v>305</v>
      </c>
      <c r="B17" s="5"/>
      <c r="C17" s="8"/>
      <c r="D17" s="8"/>
      <c r="E17" s="8"/>
      <c r="F17" s="8"/>
      <c r="G17" s="5"/>
      <c r="H17" s="5"/>
      <c r="I17" s="5"/>
    </row>
    <row r="18" spans="1:9" x14ac:dyDescent="0.35">
      <c r="A18" s="5"/>
      <c r="B18" s="5" t="s">
        <v>306</v>
      </c>
      <c r="C18" s="8" t="s">
        <v>128</v>
      </c>
      <c r="D18" s="8"/>
      <c r="E18" s="8"/>
      <c r="F18" s="8"/>
      <c r="G18" s="5"/>
      <c r="H18" s="5"/>
      <c r="I18" s="5"/>
    </row>
    <row r="19" spans="1:9" x14ac:dyDescent="0.35">
      <c r="A19" s="5"/>
      <c r="B19" s="5" t="s">
        <v>307</v>
      </c>
      <c r="C19" s="8" t="s">
        <v>146</v>
      </c>
      <c r="D19" s="8"/>
      <c r="E19" s="8"/>
      <c r="F19" s="8"/>
      <c r="G19" s="5"/>
      <c r="H19" s="5"/>
      <c r="I19" s="5"/>
    </row>
    <row r="20" spans="1:9" x14ac:dyDescent="0.35">
      <c r="A20" s="5"/>
      <c r="B20" s="5" t="s">
        <v>308</v>
      </c>
      <c r="C20" s="8" t="s">
        <v>149</v>
      </c>
      <c r="D20" s="8"/>
      <c r="E20" s="8"/>
      <c r="F20" s="8"/>
      <c r="G20" s="5"/>
      <c r="H20" s="5"/>
      <c r="I20" s="5"/>
    </row>
    <row r="21" spans="1:9" x14ac:dyDescent="0.35">
      <c r="A21" s="6" t="s">
        <v>309</v>
      </c>
      <c r="B21" s="5"/>
      <c r="C21" s="8"/>
      <c r="D21" s="8"/>
      <c r="E21" s="8"/>
      <c r="F21" s="8"/>
      <c r="G21" s="5"/>
      <c r="H21" s="5"/>
      <c r="I21" s="5"/>
    </row>
    <row r="22" spans="1:9" x14ac:dyDescent="0.35">
      <c r="A22" s="5"/>
      <c r="B22" s="5" t="s">
        <v>310</v>
      </c>
      <c r="C22" s="8" t="s">
        <v>149</v>
      </c>
      <c r="D22" s="8"/>
      <c r="E22" s="8"/>
      <c r="F22" s="8"/>
      <c r="G22" s="5"/>
      <c r="H22" s="5"/>
      <c r="I22" s="5"/>
    </row>
    <row r="23" spans="1:9" x14ac:dyDescent="0.35">
      <c r="A23" s="5"/>
      <c r="B23" s="5" t="s">
        <v>311</v>
      </c>
      <c r="C23" s="8" t="s">
        <v>189</v>
      </c>
      <c r="D23" s="8"/>
      <c r="E23" s="8"/>
      <c r="F23" s="8"/>
      <c r="G23" s="5"/>
      <c r="H23" s="5"/>
      <c r="I23" s="5"/>
    </row>
    <row r="24" spans="1:9" x14ac:dyDescent="0.35">
      <c r="A24" s="5"/>
      <c r="B24" s="5" t="s">
        <v>312</v>
      </c>
      <c r="C24" s="8" t="s">
        <v>189</v>
      </c>
      <c r="D24" s="8"/>
      <c r="E24" s="8"/>
      <c r="F24" s="8"/>
      <c r="G24" s="5"/>
      <c r="H24" s="5"/>
      <c r="I24" s="5"/>
    </row>
    <row r="25" spans="1:9" x14ac:dyDescent="0.35">
      <c r="A25" s="6" t="s">
        <v>313</v>
      </c>
      <c r="B25" s="5"/>
      <c r="C25" s="8"/>
      <c r="D25" s="8"/>
      <c r="E25" s="8"/>
      <c r="F25" s="8"/>
      <c r="G25" s="5"/>
      <c r="H25" s="5"/>
      <c r="I25" s="5"/>
    </row>
    <row r="26" spans="1:9" x14ac:dyDescent="0.35">
      <c r="A26" s="5"/>
      <c r="B26" s="5" t="s">
        <v>314</v>
      </c>
      <c r="C26" s="8" t="s">
        <v>189</v>
      </c>
      <c r="D26" s="8"/>
      <c r="E26" s="8"/>
      <c r="F26" s="8"/>
      <c r="G26" s="5"/>
      <c r="H26" s="5"/>
      <c r="I26" s="5"/>
    </row>
    <row r="27" spans="1:9" x14ac:dyDescent="0.35">
      <c r="A27" s="5"/>
      <c r="B27" s="5" t="s">
        <v>315</v>
      </c>
      <c r="C27" s="8" t="s">
        <v>131</v>
      </c>
      <c r="D27" s="8"/>
      <c r="E27" s="8"/>
      <c r="F27" s="8"/>
      <c r="G27" s="5"/>
      <c r="H27" s="5"/>
      <c r="I27" s="5"/>
    </row>
    <row r="28" spans="1:9" x14ac:dyDescent="0.35">
      <c r="A28" s="5"/>
      <c r="B28" s="5" t="s">
        <v>316</v>
      </c>
      <c r="C28" s="8" t="s">
        <v>131</v>
      </c>
      <c r="D28" s="8"/>
      <c r="E28" s="8"/>
      <c r="F28" s="8"/>
      <c r="G28" s="5"/>
      <c r="H28" s="5"/>
      <c r="I28" s="5"/>
    </row>
    <row r="29" spans="1:9" x14ac:dyDescent="0.35">
      <c r="A29" s="12" t="s">
        <v>317</v>
      </c>
      <c r="B29" s="5"/>
      <c r="C29" s="8"/>
      <c r="D29" s="8"/>
      <c r="E29" s="8"/>
      <c r="F29" s="8"/>
      <c r="G29" s="5"/>
      <c r="H29" s="5"/>
      <c r="I29" s="5"/>
    </row>
    <row r="30" spans="1:9" x14ac:dyDescent="0.35">
      <c r="A30" s="5"/>
      <c r="B30" s="5" t="s">
        <v>318</v>
      </c>
      <c r="C30" s="8" t="s">
        <v>319</v>
      </c>
      <c r="D30" s="8"/>
      <c r="E30" s="8"/>
      <c r="F30" s="8"/>
      <c r="G30" s="5"/>
      <c r="H30" s="5"/>
      <c r="I30" s="5"/>
    </row>
    <row r="31" spans="1:9" x14ac:dyDescent="0.35">
      <c r="A31" s="5"/>
      <c r="B31" s="5" t="s">
        <v>320</v>
      </c>
      <c r="C31" s="8" t="s">
        <v>321</v>
      </c>
      <c r="D31" s="8"/>
      <c r="E31" s="8"/>
      <c r="F31" s="8"/>
      <c r="G31" s="5"/>
      <c r="H31" s="5"/>
      <c r="I31" s="5"/>
    </row>
    <row r="32" spans="1:9" x14ac:dyDescent="0.35">
      <c r="A32" s="5"/>
      <c r="B32" s="5" t="s">
        <v>322</v>
      </c>
      <c r="C32" s="8" t="s">
        <v>323</v>
      </c>
      <c r="D32" s="8"/>
      <c r="E32" s="8"/>
      <c r="F32" s="8"/>
      <c r="G32" s="5"/>
      <c r="H32" s="5"/>
      <c r="I32" s="5"/>
    </row>
    <row r="33" spans="1:9" x14ac:dyDescent="0.35">
      <c r="A33" s="5"/>
      <c r="B33" s="5" t="s">
        <v>324</v>
      </c>
      <c r="C33" s="8" t="s">
        <v>321</v>
      </c>
      <c r="D33" s="8"/>
      <c r="E33" s="8"/>
      <c r="F33" s="8"/>
      <c r="G33" s="5"/>
      <c r="H33" s="5"/>
      <c r="I33" s="5"/>
    </row>
    <row r="34" spans="1:9" x14ac:dyDescent="0.35">
      <c r="A34" s="6" t="s">
        <v>325</v>
      </c>
      <c r="B34" s="5"/>
      <c r="C34" s="8" t="s">
        <v>326</v>
      </c>
      <c r="D34" s="8"/>
      <c r="E34" s="8"/>
      <c r="F34" s="8"/>
      <c r="G34" s="5"/>
      <c r="H34" s="5"/>
      <c r="I34" s="5"/>
    </row>
    <row r="35" spans="1:9" x14ac:dyDescent="0.35">
      <c r="A35" s="6" t="s">
        <v>327</v>
      </c>
      <c r="B35" s="5"/>
      <c r="C35" s="8"/>
      <c r="D35" s="8"/>
      <c r="E35" s="8"/>
      <c r="F35" s="8"/>
      <c r="G35" s="5"/>
      <c r="H35" s="5"/>
      <c r="I35" s="5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"/>
  <sheetViews>
    <sheetView workbookViewId="0"/>
  </sheetViews>
  <sheetFormatPr defaultRowHeight="14.5" x14ac:dyDescent="0.35"/>
  <cols>
    <col min="1" max="1" width="40" customWidth="1"/>
    <col min="2" max="2" width="15" customWidth="1"/>
    <col min="3" max="3" width="50" customWidth="1"/>
    <col min="4" max="5" width="15" customWidth="1"/>
    <col min="6" max="6" width="30" customWidth="1"/>
  </cols>
  <sheetData>
    <row r="1" spans="1:6" x14ac:dyDescent="0.35">
      <c r="A1" s="29" t="s">
        <v>328</v>
      </c>
      <c r="B1" s="26"/>
      <c r="C1" s="26"/>
      <c r="D1" s="26"/>
      <c r="E1" s="26"/>
      <c r="F1" s="26"/>
    </row>
    <row r="3" spans="1:6" x14ac:dyDescent="0.35">
      <c r="A3" s="27" t="s">
        <v>329</v>
      </c>
      <c r="B3" s="26"/>
      <c r="C3" s="26"/>
      <c r="D3" s="26"/>
      <c r="E3" s="26"/>
      <c r="F3" s="26"/>
    </row>
    <row r="5" spans="1:6" x14ac:dyDescent="0.35">
      <c r="A5" s="32" t="s">
        <v>330</v>
      </c>
      <c r="B5" s="26"/>
      <c r="C5" s="26"/>
      <c r="D5" s="26"/>
      <c r="E5" s="26"/>
      <c r="F5" s="26"/>
    </row>
    <row r="6" spans="1:6" x14ac:dyDescent="0.35">
      <c r="A6" s="32" t="s">
        <v>331</v>
      </c>
      <c r="B6" s="26"/>
      <c r="C6" s="26"/>
      <c r="D6" s="26"/>
      <c r="E6" s="26"/>
      <c r="F6" s="26"/>
    </row>
    <row r="7" spans="1:6" x14ac:dyDescent="0.35">
      <c r="A7" s="5" t="s">
        <v>332</v>
      </c>
      <c r="B7" s="5"/>
      <c r="C7" s="5" t="s">
        <v>333</v>
      </c>
      <c r="D7" s="5"/>
      <c r="E7" s="5" t="s">
        <v>334</v>
      </c>
      <c r="F7" s="5"/>
    </row>
    <row r="8" spans="1:6" x14ac:dyDescent="0.35">
      <c r="A8" s="5" t="s">
        <v>335</v>
      </c>
      <c r="B8" s="5"/>
      <c r="C8" s="5" t="s">
        <v>336</v>
      </c>
      <c r="D8" s="5"/>
      <c r="E8" s="5" t="s">
        <v>337</v>
      </c>
      <c r="F8" s="5"/>
    </row>
    <row r="9" spans="1:6" x14ac:dyDescent="0.35">
      <c r="A9" s="5" t="s">
        <v>338</v>
      </c>
      <c r="B9" s="5"/>
      <c r="C9" s="5" t="s">
        <v>339</v>
      </c>
      <c r="D9" s="5"/>
      <c r="E9" s="5" t="s">
        <v>5</v>
      </c>
      <c r="F9" s="5"/>
    </row>
    <row r="10" spans="1:6" x14ac:dyDescent="0.35">
      <c r="A10" s="5"/>
      <c r="B10" s="5"/>
      <c r="C10" s="5"/>
      <c r="D10" s="5"/>
      <c r="E10" s="5"/>
      <c r="F10" s="5"/>
    </row>
    <row r="11" spans="1:6" x14ac:dyDescent="0.35">
      <c r="A11" s="5" t="s">
        <v>340</v>
      </c>
      <c r="B11" s="5" t="s">
        <v>341</v>
      </c>
      <c r="C11" s="5" t="s">
        <v>342</v>
      </c>
      <c r="D11" s="5"/>
      <c r="E11" s="5"/>
      <c r="F11" s="5"/>
    </row>
    <row r="12" spans="1:6" x14ac:dyDescent="0.35">
      <c r="A12" s="5" t="s">
        <v>343</v>
      </c>
      <c r="B12" s="5"/>
      <c r="C12" s="5"/>
      <c r="D12" s="5"/>
      <c r="E12" s="5"/>
      <c r="F12" s="5"/>
    </row>
    <row r="13" spans="1:6" x14ac:dyDescent="0.35">
      <c r="A13" s="5" t="s">
        <v>344</v>
      </c>
      <c r="B13" s="5"/>
      <c r="C13" s="5"/>
      <c r="D13" s="5"/>
      <c r="E13" s="5"/>
      <c r="F13" s="5"/>
    </row>
    <row r="14" spans="1:6" x14ac:dyDescent="0.35">
      <c r="A14" s="5" t="s">
        <v>345</v>
      </c>
      <c r="B14" s="5"/>
      <c r="C14" s="5"/>
      <c r="D14" s="5"/>
      <c r="E14" s="5"/>
      <c r="F14" s="5"/>
    </row>
    <row r="15" spans="1:6" x14ac:dyDescent="0.35">
      <c r="A15" s="5" t="s">
        <v>346</v>
      </c>
      <c r="B15" s="5"/>
      <c r="C15" s="5"/>
      <c r="D15" s="5"/>
      <c r="E15" s="5"/>
      <c r="F15" s="5"/>
    </row>
    <row r="16" spans="1:6" x14ac:dyDescent="0.35">
      <c r="A16" s="5" t="s">
        <v>347</v>
      </c>
      <c r="B16" s="5"/>
      <c r="C16" s="5"/>
      <c r="D16" s="5"/>
      <c r="E16" s="5"/>
      <c r="F16" s="5"/>
    </row>
    <row r="17" spans="1:6" x14ac:dyDescent="0.35">
      <c r="A17" s="5"/>
      <c r="B17" s="5"/>
      <c r="C17" s="5"/>
      <c r="D17" s="5"/>
      <c r="E17" s="5"/>
      <c r="F17" s="5"/>
    </row>
    <row r="18" spans="1:6" x14ac:dyDescent="0.35">
      <c r="A18" s="5" t="s">
        <v>348</v>
      </c>
      <c r="B18" s="5"/>
      <c r="C18" s="5"/>
      <c r="D18" s="5"/>
      <c r="E18" s="5"/>
      <c r="F18" s="5"/>
    </row>
    <row r="19" spans="1:6" x14ac:dyDescent="0.35">
      <c r="A19" s="5" t="s">
        <v>349</v>
      </c>
      <c r="B19" s="5"/>
      <c r="C19" s="5"/>
      <c r="D19" s="5"/>
      <c r="E19" s="5"/>
      <c r="F19" s="5"/>
    </row>
    <row r="20" spans="1:6" x14ac:dyDescent="0.35">
      <c r="A20" s="5" t="s">
        <v>350</v>
      </c>
      <c r="B20" s="5"/>
      <c r="C20" s="5"/>
      <c r="D20" s="5"/>
      <c r="E20" s="5"/>
      <c r="F20" s="5"/>
    </row>
    <row r="21" spans="1:6" x14ac:dyDescent="0.35">
      <c r="A21" s="5" t="s">
        <v>351</v>
      </c>
      <c r="B21" s="5"/>
      <c r="C21" s="5"/>
      <c r="D21" s="5"/>
      <c r="E21" s="5"/>
      <c r="F21" s="5"/>
    </row>
    <row r="22" spans="1:6" x14ac:dyDescent="0.35">
      <c r="A22" s="5" t="s">
        <v>352</v>
      </c>
      <c r="B22" s="5"/>
      <c r="C22" s="5"/>
      <c r="D22" s="5"/>
      <c r="E22" s="5"/>
      <c r="F22" s="5"/>
    </row>
    <row r="23" spans="1:6" x14ac:dyDescent="0.35">
      <c r="A23" s="5"/>
      <c r="B23" s="5"/>
      <c r="C23" s="5"/>
      <c r="D23" s="5"/>
      <c r="E23" s="5"/>
      <c r="F23" s="5"/>
    </row>
    <row r="24" spans="1:6" x14ac:dyDescent="0.35">
      <c r="A24" s="5" t="s">
        <v>353</v>
      </c>
      <c r="B24" s="5"/>
      <c r="C24" s="5"/>
      <c r="D24" s="5"/>
      <c r="E24" s="5"/>
      <c r="F24" s="5"/>
    </row>
    <row r="25" spans="1:6" x14ac:dyDescent="0.35">
      <c r="A25" s="5" t="s">
        <v>354</v>
      </c>
      <c r="B25" s="5"/>
      <c r="C25" s="5"/>
      <c r="D25" s="5"/>
      <c r="E25" s="5"/>
      <c r="F25" s="5"/>
    </row>
    <row r="26" spans="1:6" x14ac:dyDescent="0.35">
      <c r="A26" s="5" t="s">
        <v>355</v>
      </c>
      <c r="B26" s="5"/>
      <c r="C26" s="5"/>
      <c r="D26" s="5"/>
      <c r="E26" s="5"/>
      <c r="F26" s="5"/>
    </row>
    <row r="27" spans="1:6" x14ac:dyDescent="0.35">
      <c r="A27" s="5" t="s">
        <v>356</v>
      </c>
      <c r="B27" s="5"/>
      <c r="C27" s="5"/>
      <c r="D27" s="5"/>
      <c r="E27" s="5"/>
      <c r="F27" s="5"/>
    </row>
    <row r="28" spans="1:6" x14ac:dyDescent="0.35">
      <c r="A28" s="5" t="s">
        <v>357</v>
      </c>
      <c r="B28" s="5"/>
      <c r="C28" s="5"/>
      <c r="D28" s="5"/>
      <c r="E28" s="5"/>
      <c r="F28" s="5"/>
    </row>
    <row r="29" spans="1:6" x14ac:dyDescent="0.35">
      <c r="A29" s="5"/>
      <c r="B29" s="5"/>
      <c r="C29" s="5"/>
      <c r="D29" s="5"/>
      <c r="E29" s="5"/>
      <c r="F29" s="5"/>
    </row>
    <row r="30" spans="1:6" x14ac:dyDescent="0.35">
      <c r="A30" s="5" t="s">
        <v>358</v>
      </c>
      <c r="B30" s="5"/>
      <c r="C30" s="5"/>
      <c r="D30" s="5"/>
      <c r="E30" s="5"/>
      <c r="F30" s="5"/>
    </row>
    <row r="31" spans="1:6" x14ac:dyDescent="0.35">
      <c r="A31" s="5" t="s">
        <v>359</v>
      </c>
      <c r="B31" s="5"/>
      <c r="C31" s="5"/>
      <c r="D31" s="5"/>
      <c r="E31" s="5"/>
      <c r="F31" s="5"/>
    </row>
    <row r="32" spans="1:6" x14ac:dyDescent="0.35">
      <c r="A32" s="5" t="s">
        <v>360</v>
      </c>
      <c r="B32" s="5"/>
      <c r="C32" s="5"/>
      <c r="D32" s="5"/>
      <c r="E32" s="5"/>
      <c r="F32" s="5"/>
    </row>
    <row r="33" spans="1:6" x14ac:dyDescent="0.35">
      <c r="A33" s="5" t="s">
        <v>361</v>
      </c>
      <c r="B33" s="5"/>
      <c r="C33" s="5"/>
      <c r="D33" s="5"/>
      <c r="E33" s="5"/>
      <c r="F33" s="5"/>
    </row>
    <row r="34" spans="1:6" x14ac:dyDescent="0.35">
      <c r="A34" s="5"/>
      <c r="B34" s="5"/>
      <c r="C34" s="5"/>
      <c r="D34" s="5"/>
      <c r="E34" s="5"/>
      <c r="F34" s="5"/>
    </row>
    <row r="35" spans="1:6" x14ac:dyDescent="0.35">
      <c r="A35" s="5" t="s">
        <v>362</v>
      </c>
      <c r="B35" s="5"/>
      <c r="C35" s="5"/>
      <c r="D35" s="5"/>
      <c r="E35" s="5"/>
      <c r="F35" s="5"/>
    </row>
    <row r="36" spans="1:6" x14ac:dyDescent="0.35">
      <c r="A36" s="5" t="s">
        <v>363</v>
      </c>
      <c r="B36" s="5"/>
      <c r="C36" s="5"/>
      <c r="D36" s="5"/>
      <c r="E36" s="5"/>
      <c r="F36" s="5"/>
    </row>
    <row r="37" spans="1:6" x14ac:dyDescent="0.35">
      <c r="A37" s="5" t="s">
        <v>364</v>
      </c>
      <c r="B37" s="5"/>
      <c r="C37" s="5"/>
      <c r="D37" s="5"/>
      <c r="E37" s="5"/>
      <c r="F37" s="5"/>
    </row>
    <row r="38" spans="1:6" x14ac:dyDescent="0.35">
      <c r="A38" s="5" t="s">
        <v>365</v>
      </c>
      <c r="B38" s="5"/>
      <c r="C38" s="5"/>
      <c r="D38" s="5"/>
      <c r="E38" s="5"/>
      <c r="F38" s="5"/>
    </row>
    <row r="39" spans="1:6" x14ac:dyDescent="0.35">
      <c r="A39" s="5" t="s">
        <v>366</v>
      </c>
      <c r="B39" s="5"/>
      <c r="C39" s="5"/>
      <c r="D39" s="5"/>
      <c r="E39" s="5"/>
      <c r="F39" s="5"/>
    </row>
    <row r="40" spans="1:6" x14ac:dyDescent="0.35">
      <c r="A40" s="5" t="s">
        <v>367</v>
      </c>
      <c r="B40" s="5"/>
      <c r="C40" s="5"/>
      <c r="D40" s="5"/>
      <c r="E40" s="5"/>
      <c r="F40" s="5"/>
    </row>
    <row r="41" spans="1:6" x14ac:dyDescent="0.35">
      <c r="A41" s="5"/>
      <c r="B41" s="5"/>
      <c r="C41" s="5"/>
      <c r="D41" s="5"/>
      <c r="E41" s="5"/>
      <c r="F41" s="5"/>
    </row>
    <row r="42" spans="1:6" x14ac:dyDescent="0.35">
      <c r="A42" s="32" t="s">
        <v>368</v>
      </c>
      <c r="B42" s="26"/>
      <c r="C42" s="26"/>
      <c r="D42" s="26"/>
      <c r="E42" s="26"/>
      <c r="F42" s="26"/>
    </row>
    <row r="43" spans="1:6" x14ac:dyDescent="0.35">
      <c r="A43" s="5"/>
      <c r="B43" s="5"/>
      <c r="C43" s="5"/>
      <c r="D43" s="5"/>
      <c r="E43" s="5"/>
      <c r="F43" s="5"/>
    </row>
    <row r="44" spans="1:6" x14ac:dyDescent="0.35">
      <c r="A44" s="5"/>
      <c r="B44" s="5"/>
      <c r="C44" s="5"/>
      <c r="D44" s="5"/>
      <c r="E44" s="5"/>
      <c r="F44" s="5"/>
    </row>
    <row r="45" spans="1:6" x14ac:dyDescent="0.35">
      <c r="A45" s="5"/>
      <c r="B45" s="5"/>
      <c r="C45" s="5"/>
      <c r="D45" s="5"/>
      <c r="E45" s="5"/>
      <c r="F45" s="5"/>
    </row>
    <row r="46" spans="1:6" x14ac:dyDescent="0.35">
      <c r="A46" s="32" t="s">
        <v>369</v>
      </c>
      <c r="B46" s="26"/>
      <c r="C46" s="26"/>
      <c r="D46" s="26"/>
      <c r="E46" s="26"/>
      <c r="F46" s="26"/>
    </row>
    <row r="47" spans="1:6" x14ac:dyDescent="0.35">
      <c r="A47" s="5" t="s">
        <v>370</v>
      </c>
      <c r="B47" s="5"/>
      <c r="C47" s="5"/>
      <c r="D47" s="5"/>
      <c r="E47" s="5"/>
      <c r="F47" s="5"/>
    </row>
  </sheetData>
  <mergeCells count="6">
    <mergeCell ref="A42:F42"/>
    <mergeCell ref="A46:F46"/>
    <mergeCell ref="A1:F1"/>
    <mergeCell ref="A5:F5"/>
    <mergeCell ref="A6:F6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4.5" x14ac:dyDescent="0.35"/>
  <cols>
    <col min="1" max="1" width="60" customWidth="1"/>
    <col min="2" max="5" width="20" customWidth="1"/>
  </cols>
  <sheetData>
    <row r="1" spans="1:5" x14ac:dyDescent="0.35">
      <c r="A1" s="29" t="s">
        <v>371</v>
      </c>
      <c r="B1" s="26"/>
      <c r="C1" s="26"/>
      <c r="D1" s="26"/>
      <c r="E1" s="26"/>
    </row>
    <row r="3" spans="1:5" x14ac:dyDescent="0.35">
      <c r="A3" s="27" t="s">
        <v>372</v>
      </c>
      <c r="B3" s="26"/>
      <c r="C3" s="26"/>
      <c r="D3" s="26"/>
      <c r="E3" s="26"/>
    </row>
    <row r="5" spans="1:5" x14ac:dyDescent="0.35">
      <c r="A5" s="32" t="s">
        <v>373</v>
      </c>
      <c r="B5" s="26"/>
      <c r="C5" s="26"/>
      <c r="D5" s="26"/>
      <c r="E5" s="26"/>
    </row>
    <row r="6" spans="1:5" x14ac:dyDescent="0.35">
      <c r="A6" s="5"/>
      <c r="B6" s="5"/>
      <c r="C6" s="5"/>
      <c r="D6" s="5"/>
      <c r="E6" s="5"/>
    </row>
    <row r="7" spans="1:5" x14ac:dyDescent="0.35">
      <c r="A7" s="5" t="s">
        <v>374</v>
      </c>
      <c r="B7" s="5" t="s">
        <v>375</v>
      </c>
      <c r="C7" s="5"/>
      <c r="D7" s="5"/>
      <c r="E7" s="5"/>
    </row>
    <row r="8" spans="1:5" x14ac:dyDescent="0.35">
      <c r="A8" s="5" t="s">
        <v>376</v>
      </c>
      <c r="B8" s="5" t="s">
        <v>377</v>
      </c>
      <c r="C8" s="5"/>
      <c r="D8" s="5"/>
      <c r="E8" s="5"/>
    </row>
    <row r="9" spans="1:5" ht="26" x14ac:dyDescent="0.35">
      <c r="A9" s="5" t="s">
        <v>378</v>
      </c>
      <c r="B9" s="5" t="s">
        <v>379</v>
      </c>
      <c r="C9" s="5"/>
      <c r="D9" s="5"/>
      <c r="E9" s="5"/>
    </row>
    <row r="10" spans="1:5" x14ac:dyDescent="0.35">
      <c r="A10" s="5"/>
      <c r="B10" s="5"/>
      <c r="C10" s="5"/>
      <c r="D10" s="5"/>
      <c r="E10" s="5"/>
    </row>
    <row r="11" spans="1:5" x14ac:dyDescent="0.35">
      <c r="A11" s="5" t="s">
        <v>380</v>
      </c>
      <c r="B11" s="5"/>
      <c r="C11" s="5"/>
      <c r="D11" s="5"/>
      <c r="E11" s="5"/>
    </row>
    <row r="12" spans="1:5" x14ac:dyDescent="0.35">
      <c r="A12" s="5" t="s">
        <v>381</v>
      </c>
      <c r="B12" s="5"/>
      <c r="C12" s="5"/>
      <c r="D12" s="5"/>
      <c r="E12" s="5"/>
    </row>
    <row r="13" spans="1:5" x14ac:dyDescent="0.35">
      <c r="A13" s="5"/>
      <c r="B13" s="5"/>
      <c r="C13" s="5"/>
      <c r="D13" s="5"/>
      <c r="E13" s="5"/>
    </row>
    <row r="14" spans="1:5" ht="26" x14ac:dyDescent="0.35">
      <c r="A14" s="5" t="s">
        <v>382</v>
      </c>
      <c r="B14" s="5"/>
      <c r="C14" s="5"/>
      <c r="D14" s="5"/>
      <c r="E14" s="5"/>
    </row>
    <row r="15" spans="1:5" ht="26" x14ac:dyDescent="0.35">
      <c r="A15" s="5" t="s">
        <v>383</v>
      </c>
      <c r="B15" s="5"/>
      <c r="C15" s="5"/>
      <c r="D15" s="5"/>
      <c r="E15" s="5"/>
    </row>
    <row r="16" spans="1:5" x14ac:dyDescent="0.35">
      <c r="A16" s="5"/>
      <c r="B16" s="5"/>
      <c r="C16" s="5"/>
      <c r="D16" s="5"/>
      <c r="E16" s="5"/>
    </row>
    <row r="17" spans="1:5" ht="26" x14ac:dyDescent="0.35">
      <c r="A17" s="5" t="s">
        <v>384</v>
      </c>
      <c r="B17" s="5"/>
      <c r="C17" s="5"/>
      <c r="D17" s="5"/>
      <c r="E17" s="5"/>
    </row>
    <row r="18" spans="1:5" x14ac:dyDescent="0.35">
      <c r="A18" s="5"/>
      <c r="B18" s="5"/>
      <c r="C18" s="5"/>
      <c r="D18" s="5"/>
      <c r="E18" s="5"/>
    </row>
    <row r="19" spans="1:5" x14ac:dyDescent="0.35">
      <c r="A19" s="5" t="s">
        <v>385</v>
      </c>
      <c r="B19" s="5"/>
      <c r="C19" s="5"/>
      <c r="D19" s="5"/>
      <c r="E19" s="5"/>
    </row>
    <row r="20" spans="1:5" x14ac:dyDescent="0.35">
      <c r="A20" s="5"/>
      <c r="B20" s="5"/>
      <c r="C20" s="5"/>
      <c r="D20" s="5"/>
      <c r="E20" s="5"/>
    </row>
    <row r="21" spans="1:5" x14ac:dyDescent="0.35">
      <c r="A21" s="32" t="s">
        <v>386</v>
      </c>
      <c r="B21" s="26"/>
      <c r="C21" s="26"/>
      <c r="D21" s="26"/>
      <c r="E21" s="26"/>
    </row>
    <row r="22" spans="1:5" x14ac:dyDescent="0.35">
      <c r="A22" s="5" t="s">
        <v>387</v>
      </c>
      <c r="B22" s="5"/>
      <c r="C22" s="5"/>
      <c r="D22" s="5"/>
      <c r="E22" s="5"/>
    </row>
    <row r="23" spans="1:5" x14ac:dyDescent="0.35">
      <c r="A23" s="5" t="s">
        <v>388</v>
      </c>
      <c r="B23" s="5"/>
      <c r="C23" s="5"/>
      <c r="D23" s="5"/>
      <c r="E23" s="5"/>
    </row>
    <row r="24" spans="1:5" x14ac:dyDescent="0.35">
      <c r="A24" s="5" t="s">
        <v>389</v>
      </c>
      <c r="B24" s="5"/>
      <c r="C24" s="5"/>
      <c r="D24" s="5"/>
      <c r="E24" s="5"/>
    </row>
    <row r="25" spans="1:5" x14ac:dyDescent="0.35">
      <c r="A25" s="5" t="s">
        <v>390</v>
      </c>
      <c r="B25" s="5"/>
      <c r="C25" s="5"/>
      <c r="D25" s="5"/>
      <c r="E25" s="5"/>
    </row>
    <row r="26" spans="1:5" x14ac:dyDescent="0.35">
      <c r="A26" s="5" t="s">
        <v>391</v>
      </c>
      <c r="B26" s="5"/>
      <c r="C26" s="5"/>
      <c r="D26" s="5"/>
      <c r="E26" s="5"/>
    </row>
    <row r="27" spans="1:5" x14ac:dyDescent="0.35">
      <c r="A27" s="5" t="s">
        <v>392</v>
      </c>
      <c r="B27" s="5"/>
      <c r="C27" s="5"/>
      <c r="D27" s="5"/>
      <c r="E27" s="5"/>
    </row>
    <row r="28" spans="1:5" x14ac:dyDescent="0.35">
      <c r="A28" s="5"/>
      <c r="B28" s="5"/>
      <c r="C28" s="5"/>
      <c r="D28" s="5"/>
      <c r="E28" s="5"/>
    </row>
    <row r="29" spans="1:5" x14ac:dyDescent="0.35">
      <c r="A29" s="32" t="s">
        <v>393</v>
      </c>
      <c r="B29" s="26"/>
      <c r="C29" s="26"/>
      <c r="D29" s="26"/>
      <c r="E29" s="26"/>
    </row>
    <row r="30" spans="1:5" x14ac:dyDescent="0.35">
      <c r="A30" s="5" t="s">
        <v>394</v>
      </c>
      <c r="B30" s="5"/>
      <c r="C30" s="5"/>
      <c r="D30" s="5"/>
      <c r="E30" s="5"/>
    </row>
    <row r="31" spans="1:5" x14ac:dyDescent="0.35">
      <c r="A31" s="5" t="s">
        <v>395</v>
      </c>
      <c r="B31" s="5"/>
      <c r="C31" s="5"/>
      <c r="D31" s="5"/>
      <c r="E31" s="5"/>
    </row>
    <row r="32" spans="1:5" x14ac:dyDescent="0.35">
      <c r="A32" s="5" t="s">
        <v>396</v>
      </c>
      <c r="B32" s="5"/>
      <c r="C32" s="5"/>
      <c r="D32" s="5"/>
      <c r="E32" s="5"/>
    </row>
    <row r="33" spans="1:5" x14ac:dyDescent="0.35">
      <c r="A33" s="5" t="s">
        <v>397</v>
      </c>
      <c r="B33" s="5"/>
      <c r="C33" s="5"/>
      <c r="D33" s="5"/>
      <c r="E33" s="5"/>
    </row>
    <row r="34" spans="1:5" x14ac:dyDescent="0.35">
      <c r="A34" s="5" t="s">
        <v>398</v>
      </c>
      <c r="B34" s="5"/>
      <c r="C34" s="5"/>
      <c r="D34" s="5"/>
      <c r="E34" s="5"/>
    </row>
    <row r="35" spans="1:5" x14ac:dyDescent="0.35">
      <c r="A35" s="5"/>
      <c r="B35" s="5"/>
      <c r="C35" s="5"/>
      <c r="D35" s="5"/>
      <c r="E35" s="5"/>
    </row>
    <row r="36" spans="1:5" x14ac:dyDescent="0.35">
      <c r="A36" s="5" t="s">
        <v>399</v>
      </c>
      <c r="B36" s="5"/>
      <c r="C36" s="5"/>
      <c r="D36" s="5"/>
      <c r="E36" s="5"/>
    </row>
    <row r="37" spans="1:5" x14ac:dyDescent="0.35">
      <c r="A37" s="5" t="s">
        <v>400</v>
      </c>
      <c r="B37" s="5"/>
      <c r="C37" s="5"/>
      <c r="D37" s="5"/>
      <c r="E37" s="5"/>
    </row>
    <row r="38" spans="1:5" x14ac:dyDescent="0.35">
      <c r="A38" s="5" t="s">
        <v>401</v>
      </c>
      <c r="B38" s="5"/>
      <c r="C38" s="5"/>
      <c r="D38" s="5"/>
      <c r="E38" s="5"/>
    </row>
    <row r="39" spans="1:5" x14ac:dyDescent="0.35">
      <c r="A39" s="5" t="s">
        <v>402</v>
      </c>
      <c r="B39" s="5"/>
      <c r="C39" s="5"/>
      <c r="D39" s="5"/>
      <c r="E39" s="5"/>
    </row>
    <row r="40" spans="1:5" x14ac:dyDescent="0.35">
      <c r="A40" s="5"/>
      <c r="B40" s="5"/>
      <c r="C40" s="5"/>
      <c r="D40" s="5"/>
      <c r="E40" s="5"/>
    </row>
    <row r="41" spans="1:5" x14ac:dyDescent="0.35">
      <c r="A41" s="32" t="s">
        <v>403</v>
      </c>
      <c r="B41" s="26"/>
      <c r="C41" s="26"/>
      <c r="D41" s="26"/>
      <c r="E41" s="26"/>
    </row>
    <row r="42" spans="1:5" x14ac:dyDescent="0.35">
      <c r="A42" s="5" t="s">
        <v>404</v>
      </c>
      <c r="B42" s="5"/>
      <c r="C42" s="5"/>
      <c r="D42" s="5"/>
      <c r="E42" s="5"/>
    </row>
    <row r="43" spans="1:5" x14ac:dyDescent="0.35">
      <c r="A43" s="5" t="s">
        <v>405</v>
      </c>
      <c r="B43" s="5"/>
      <c r="C43" s="5"/>
      <c r="D43" s="5"/>
      <c r="E43" s="5"/>
    </row>
    <row r="44" spans="1:5" x14ac:dyDescent="0.35">
      <c r="A44" s="5" t="s">
        <v>406</v>
      </c>
      <c r="B44" s="5"/>
      <c r="C44" s="5"/>
      <c r="D44" s="5"/>
      <c r="E44" s="5"/>
    </row>
    <row r="45" spans="1:5" x14ac:dyDescent="0.35">
      <c r="A45" s="5"/>
      <c r="B45" s="5"/>
      <c r="C45" s="5"/>
      <c r="D45" s="5"/>
      <c r="E45" s="5"/>
    </row>
    <row r="46" spans="1:5" x14ac:dyDescent="0.35">
      <c r="A46" s="32" t="s">
        <v>407</v>
      </c>
      <c r="B46" s="26"/>
      <c r="C46" s="26"/>
      <c r="D46" s="26"/>
      <c r="E46" s="26"/>
    </row>
    <row r="47" spans="1:5" x14ac:dyDescent="0.35">
      <c r="A47" s="5" t="s">
        <v>408</v>
      </c>
      <c r="B47" s="5"/>
      <c r="C47" s="5"/>
      <c r="D47" s="5"/>
      <c r="E47" s="5"/>
    </row>
    <row r="48" spans="1:5" x14ac:dyDescent="0.35">
      <c r="A48" s="5" t="s">
        <v>409</v>
      </c>
      <c r="B48" s="5"/>
      <c r="C48" s="5"/>
      <c r="D48" s="5"/>
      <c r="E48" s="5"/>
    </row>
    <row r="49" spans="1:5" x14ac:dyDescent="0.35">
      <c r="A49" s="5" t="s">
        <v>410</v>
      </c>
      <c r="B49" s="5"/>
      <c r="C49" s="5"/>
      <c r="D49" s="5"/>
      <c r="E49" s="5"/>
    </row>
    <row r="50" spans="1:5" x14ac:dyDescent="0.35">
      <c r="A50" s="5"/>
      <c r="B50" s="5"/>
      <c r="C50" s="5"/>
      <c r="D50" s="5"/>
      <c r="E50" s="5"/>
    </row>
    <row r="51" spans="1:5" x14ac:dyDescent="0.35">
      <c r="A51" s="5" t="s">
        <v>411</v>
      </c>
      <c r="B51" s="5"/>
      <c r="C51" s="5"/>
      <c r="D51" s="5"/>
      <c r="E51" s="5"/>
    </row>
    <row r="52" spans="1:5" x14ac:dyDescent="0.35">
      <c r="A52" s="5" t="s">
        <v>412</v>
      </c>
      <c r="B52" s="5"/>
      <c r="C52" s="5"/>
      <c r="D52" s="5"/>
      <c r="E52" s="5"/>
    </row>
    <row r="53" spans="1:5" x14ac:dyDescent="0.35">
      <c r="A53" s="5" t="s">
        <v>413</v>
      </c>
      <c r="B53" s="5"/>
      <c r="C53" s="5"/>
      <c r="D53" s="5"/>
      <c r="E53" s="5"/>
    </row>
    <row r="54" spans="1:5" x14ac:dyDescent="0.35">
      <c r="A54" s="5" t="s">
        <v>414</v>
      </c>
      <c r="B54" s="5"/>
      <c r="C54" s="5"/>
      <c r="D54" s="5"/>
      <c r="E54" s="5"/>
    </row>
    <row r="55" spans="1:5" x14ac:dyDescent="0.35">
      <c r="A55" s="5" t="s">
        <v>415</v>
      </c>
      <c r="B55" s="5"/>
      <c r="C55" s="5"/>
      <c r="D55" s="5"/>
      <c r="E55" s="5"/>
    </row>
    <row r="56" spans="1:5" x14ac:dyDescent="0.35">
      <c r="A56" s="5" t="s">
        <v>416</v>
      </c>
      <c r="B56" s="5"/>
      <c r="C56" s="5"/>
      <c r="D56" s="5"/>
      <c r="E56" s="5"/>
    </row>
    <row r="57" spans="1:5" x14ac:dyDescent="0.35">
      <c r="A57" s="5" t="s">
        <v>417</v>
      </c>
      <c r="B57" s="5"/>
      <c r="C57" s="5"/>
      <c r="D57" s="5"/>
      <c r="E57" s="5"/>
    </row>
    <row r="58" spans="1:5" x14ac:dyDescent="0.35">
      <c r="A58" s="5"/>
      <c r="B58" s="5"/>
      <c r="C58" s="5"/>
      <c r="D58" s="5"/>
      <c r="E58" s="5"/>
    </row>
    <row r="59" spans="1:5" ht="26" x14ac:dyDescent="0.35">
      <c r="A59" s="5" t="s">
        <v>418</v>
      </c>
      <c r="B59" s="5"/>
      <c r="C59" s="5"/>
      <c r="D59" s="5"/>
      <c r="E59" s="5"/>
    </row>
    <row r="60" spans="1:5" x14ac:dyDescent="0.35">
      <c r="A60" s="5"/>
      <c r="B60" s="5"/>
      <c r="C60" s="5"/>
      <c r="D60" s="5"/>
      <c r="E60" s="5"/>
    </row>
    <row r="61" spans="1:5" x14ac:dyDescent="0.35">
      <c r="A61" s="5" t="s">
        <v>419</v>
      </c>
      <c r="B61" s="5"/>
      <c r="C61" s="5"/>
      <c r="D61" s="5"/>
      <c r="E61" s="5"/>
    </row>
    <row r="62" spans="1:5" x14ac:dyDescent="0.35">
      <c r="A62" s="5" t="s">
        <v>420</v>
      </c>
      <c r="B62" s="5"/>
      <c r="C62" s="5"/>
      <c r="D62" s="5"/>
      <c r="E62" s="5"/>
    </row>
    <row r="63" spans="1:5" x14ac:dyDescent="0.35">
      <c r="A63" s="5" t="s">
        <v>421</v>
      </c>
      <c r="B63" s="5"/>
      <c r="C63" s="5"/>
      <c r="D63" s="5"/>
      <c r="E63" s="5"/>
    </row>
  </sheetData>
  <mergeCells count="7">
    <mergeCell ref="A46:E46"/>
    <mergeCell ref="A3:E3"/>
    <mergeCell ref="A21:E21"/>
    <mergeCell ref="A29:E29"/>
    <mergeCell ref="A41:E41"/>
    <mergeCell ref="A1:E1"/>
    <mergeCell ref="A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2"/>
  <sheetViews>
    <sheetView workbookViewId="0"/>
  </sheetViews>
  <sheetFormatPr defaultRowHeight="14.5" x14ac:dyDescent="0.35"/>
  <cols>
    <col min="1" max="1" width="35" customWidth="1"/>
    <col min="2" max="4" width="25" customWidth="1"/>
  </cols>
  <sheetData>
    <row r="1" spans="1:4" x14ac:dyDescent="0.35">
      <c r="A1" s="29" t="s">
        <v>422</v>
      </c>
      <c r="B1" s="26"/>
      <c r="C1" s="26"/>
      <c r="D1" s="26"/>
    </row>
    <row r="5" spans="1:4" x14ac:dyDescent="0.35">
      <c r="A5" s="30" t="s">
        <v>423</v>
      </c>
      <c r="B5" s="26"/>
      <c r="C5" s="26"/>
      <c r="D5" s="26"/>
    </row>
    <row r="6" spans="1:4" x14ac:dyDescent="0.35">
      <c r="A6" s="13" t="s">
        <v>424</v>
      </c>
      <c r="B6" s="5" t="s">
        <v>377</v>
      </c>
      <c r="C6" s="5"/>
      <c r="D6" s="5"/>
    </row>
    <row r="7" spans="1:4" x14ac:dyDescent="0.35">
      <c r="A7" s="13" t="s">
        <v>425</v>
      </c>
      <c r="B7" s="5" t="s">
        <v>426</v>
      </c>
      <c r="C7" s="5"/>
      <c r="D7" s="5"/>
    </row>
    <row r="8" spans="1:4" x14ac:dyDescent="0.35">
      <c r="A8" s="13" t="s">
        <v>427</v>
      </c>
      <c r="B8" s="5" t="s">
        <v>428</v>
      </c>
      <c r="C8" s="5"/>
      <c r="D8" s="5"/>
    </row>
    <row r="9" spans="1:4" x14ac:dyDescent="0.35">
      <c r="A9" s="13" t="s">
        <v>429</v>
      </c>
      <c r="B9" s="5" t="s">
        <v>430</v>
      </c>
      <c r="C9" s="5"/>
      <c r="D9" s="5"/>
    </row>
    <row r="10" spans="1:4" x14ac:dyDescent="0.35">
      <c r="A10" s="13" t="s">
        <v>431</v>
      </c>
      <c r="B10" s="5" t="s">
        <v>432</v>
      </c>
      <c r="C10" s="5"/>
      <c r="D10" s="5"/>
    </row>
    <row r="11" spans="1:4" x14ac:dyDescent="0.35">
      <c r="A11" s="5"/>
      <c r="B11" s="5"/>
      <c r="C11" s="5"/>
      <c r="D11" s="5"/>
    </row>
    <row r="12" spans="1:4" x14ac:dyDescent="0.35">
      <c r="A12" s="13" t="s">
        <v>433</v>
      </c>
      <c r="B12" s="5"/>
      <c r="C12" s="5"/>
      <c r="D12" s="5"/>
    </row>
    <row r="13" spans="1:4" x14ac:dyDescent="0.35">
      <c r="A13" s="5" t="s">
        <v>434</v>
      </c>
      <c r="B13" s="5" t="s">
        <v>435</v>
      </c>
      <c r="C13" s="5"/>
      <c r="D13" s="5"/>
    </row>
    <row r="14" spans="1:4" x14ac:dyDescent="0.35">
      <c r="A14" s="5" t="s">
        <v>436</v>
      </c>
      <c r="B14" s="5" t="s">
        <v>437</v>
      </c>
      <c r="C14" s="5"/>
      <c r="D14" s="5"/>
    </row>
    <row r="15" spans="1:4" x14ac:dyDescent="0.35">
      <c r="A15" s="5" t="s">
        <v>438</v>
      </c>
      <c r="B15" s="5" t="s">
        <v>439</v>
      </c>
      <c r="C15" s="5"/>
      <c r="D15" s="5"/>
    </row>
    <row r="16" spans="1:4" x14ac:dyDescent="0.35">
      <c r="A16" s="5"/>
      <c r="B16" s="5"/>
      <c r="C16" s="5"/>
      <c r="D16" s="5"/>
    </row>
    <row r="17" spans="1:4" x14ac:dyDescent="0.35">
      <c r="A17" s="13" t="s">
        <v>440</v>
      </c>
      <c r="B17" s="5"/>
      <c r="C17" s="5"/>
      <c r="D17" s="5"/>
    </row>
    <row r="18" spans="1:4" x14ac:dyDescent="0.35">
      <c r="A18" s="5" t="s">
        <v>434</v>
      </c>
      <c r="B18" s="5" t="s">
        <v>441</v>
      </c>
      <c r="C18" s="13" t="s">
        <v>442</v>
      </c>
      <c r="D18" s="5" t="s">
        <v>443</v>
      </c>
    </row>
    <row r="19" spans="1:4" x14ac:dyDescent="0.35">
      <c r="A19" s="5" t="s">
        <v>436</v>
      </c>
      <c r="B19" s="5" t="s">
        <v>444</v>
      </c>
      <c r="C19" s="13" t="s">
        <v>442</v>
      </c>
      <c r="D19" s="5" t="s">
        <v>443</v>
      </c>
    </row>
    <row r="20" spans="1:4" x14ac:dyDescent="0.35">
      <c r="A20" s="5" t="s">
        <v>438</v>
      </c>
      <c r="B20" s="5" t="s">
        <v>445</v>
      </c>
      <c r="C20" s="13" t="s">
        <v>442</v>
      </c>
      <c r="D20" s="5" t="s">
        <v>443</v>
      </c>
    </row>
    <row r="21" spans="1:4" x14ac:dyDescent="0.35">
      <c r="A21" s="5"/>
      <c r="B21" s="5"/>
      <c r="C21" s="5"/>
      <c r="D21" s="5"/>
    </row>
    <row r="22" spans="1:4" x14ac:dyDescent="0.35">
      <c r="A22" s="30" t="s">
        <v>446</v>
      </c>
      <c r="B22" s="26"/>
      <c r="C22" s="26"/>
      <c r="D22" s="26"/>
    </row>
    <row r="23" spans="1:4" x14ac:dyDescent="0.35">
      <c r="A23" s="13" t="s">
        <v>447</v>
      </c>
      <c r="B23" s="5" t="s">
        <v>448</v>
      </c>
      <c r="C23" s="5"/>
      <c r="D23" s="5"/>
    </row>
    <row r="24" spans="1:4" x14ac:dyDescent="0.35">
      <c r="A24" s="13" t="s">
        <v>449</v>
      </c>
      <c r="B24" s="5" t="s">
        <v>448</v>
      </c>
      <c r="C24" s="5"/>
      <c r="D24" s="5"/>
    </row>
    <row r="25" spans="1:4" x14ac:dyDescent="0.35">
      <c r="A25" s="13" t="s">
        <v>450</v>
      </c>
      <c r="B25" s="5" t="s">
        <v>448</v>
      </c>
      <c r="C25" s="5"/>
      <c r="D25" s="5"/>
    </row>
    <row r="26" spans="1:4" x14ac:dyDescent="0.35">
      <c r="A26" s="13" t="s">
        <v>451</v>
      </c>
      <c r="B26" s="5" t="s">
        <v>448</v>
      </c>
      <c r="C26" s="5"/>
      <c r="D26" s="5"/>
    </row>
    <row r="27" spans="1:4" x14ac:dyDescent="0.35">
      <c r="A27" s="13" t="s">
        <v>452</v>
      </c>
      <c r="B27" s="5" t="s">
        <v>448</v>
      </c>
      <c r="C27" s="5"/>
      <c r="D27" s="5"/>
    </row>
    <row r="28" spans="1:4" x14ac:dyDescent="0.35">
      <c r="A28" s="5"/>
      <c r="B28" s="5"/>
      <c r="C28" s="5"/>
      <c r="D28" s="5"/>
    </row>
    <row r="29" spans="1:4" x14ac:dyDescent="0.35">
      <c r="A29" s="30" t="s">
        <v>453</v>
      </c>
      <c r="B29" s="26"/>
      <c r="C29" s="26"/>
      <c r="D29" s="26"/>
    </row>
    <row r="30" spans="1:4" x14ac:dyDescent="0.35">
      <c r="A30" s="5" t="s">
        <v>454</v>
      </c>
      <c r="B30" s="5" t="s">
        <v>455</v>
      </c>
      <c r="C30" s="5" t="s">
        <v>456</v>
      </c>
      <c r="D30" s="5" t="s">
        <v>457</v>
      </c>
    </row>
    <row r="31" spans="1:4" x14ac:dyDescent="0.35">
      <c r="A31" s="5" t="s">
        <v>458</v>
      </c>
      <c r="B31" s="5" t="s">
        <v>459</v>
      </c>
      <c r="C31" s="5" t="s">
        <v>459</v>
      </c>
      <c r="D31" s="5" t="s">
        <v>459</v>
      </c>
    </row>
    <row r="32" spans="1:4" x14ac:dyDescent="0.35">
      <c r="A32" s="5" t="s">
        <v>460</v>
      </c>
      <c r="B32" s="5" t="s">
        <v>459</v>
      </c>
      <c r="C32" s="5" t="s">
        <v>459</v>
      </c>
      <c r="D32" s="5" t="s">
        <v>459</v>
      </c>
    </row>
    <row r="33" spans="1:4" x14ac:dyDescent="0.35">
      <c r="A33" s="5" t="s">
        <v>461</v>
      </c>
      <c r="B33" s="5" t="s">
        <v>459</v>
      </c>
      <c r="C33" s="5" t="s">
        <v>459</v>
      </c>
      <c r="D33" s="5" t="s">
        <v>459</v>
      </c>
    </row>
    <row r="34" spans="1:4" x14ac:dyDescent="0.35">
      <c r="A34" s="5" t="s">
        <v>462</v>
      </c>
      <c r="B34" s="5" t="s">
        <v>459</v>
      </c>
      <c r="C34" s="5" t="s">
        <v>459</v>
      </c>
      <c r="D34" s="5" t="s">
        <v>459</v>
      </c>
    </row>
    <row r="35" spans="1:4" x14ac:dyDescent="0.35">
      <c r="A35" s="5" t="s">
        <v>463</v>
      </c>
      <c r="B35" s="5" t="s">
        <v>459</v>
      </c>
      <c r="C35" s="5" t="s">
        <v>459</v>
      </c>
      <c r="D35" s="5" t="s">
        <v>459</v>
      </c>
    </row>
    <row r="36" spans="1:4" x14ac:dyDescent="0.35">
      <c r="A36" s="5" t="s">
        <v>464</v>
      </c>
      <c r="B36" s="5" t="s">
        <v>459</v>
      </c>
      <c r="C36" s="5" t="s">
        <v>459</v>
      </c>
      <c r="D36" s="5" t="s">
        <v>459</v>
      </c>
    </row>
    <row r="37" spans="1:4" x14ac:dyDescent="0.35">
      <c r="A37" s="5"/>
      <c r="B37" s="5"/>
      <c r="C37" s="5"/>
      <c r="D37" s="5"/>
    </row>
    <row r="38" spans="1:4" x14ac:dyDescent="0.35">
      <c r="A38" s="30" t="s">
        <v>465</v>
      </c>
      <c r="B38" s="26"/>
      <c r="C38" s="26"/>
      <c r="D38" s="26"/>
    </row>
    <row r="39" spans="1:4" x14ac:dyDescent="0.35">
      <c r="A39" s="13" t="s">
        <v>466</v>
      </c>
      <c r="B39" s="5" t="s">
        <v>467</v>
      </c>
      <c r="C39" s="5"/>
      <c r="D39" s="5"/>
    </row>
    <row r="40" spans="1:4" x14ac:dyDescent="0.35">
      <c r="A40" s="13" t="s">
        <v>468</v>
      </c>
      <c r="B40" s="5" t="s">
        <v>467</v>
      </c>
      <c r="C40" s="5"/>
      <c r="D40" s="5"/>
    </row>
    <row r="41" spans="1:4" x14ac:dyDescent="0.35">
      <c r="A41" s="5"/>
      <c r="B41" s="5"/>
      <c r="C41" s="5"/>
      <c r="D41" s="5"/>
    </row>
    <row r="42" spans="1:4" x14ac:dyDescent="0.35">
      <c r="A42" s="30" t="s">
        <v>469</v>
      </c>
      <c r="B42" s="26"/>
      <c r="C42" s="26"/>
      <c r="D42" s="26"/>
    </row>
    <row r="43" spans="1:4" x14ac:dyDescent="0.35">
      <c r="A43" s="5" t="s">
        <v>470</v>
      </c>
      <c r="B43" s="5" t="s">
        <v>471</v>
      </c>
      <c r="C43" s="5" t="s">
        <v>472</v>
      </c>
      <c r="D43" s="5" t="s">
        <v>473</v>
      </c>
    </row>
    <row r="44" spans="1:4" x14ac:dyDescent="0.35">
      <c r="A44" s="5" t="s">
        <v>474</v>
      </c>
      <c r="B44" s="5" t="s">
        <v>428</v>
      </c>
      <c r="C44" s="5" t="s">
        <v>428</v>
      </c>
      <c r="D44" s="5" t="s">
        <v>428</v>
      </c>
    </row>
    <row r="45" spans="1:4" x14ac:dyDescent="0.35">
      <c r="A45" s="5" t="s">
        <v>264</v>
      </c>
      <c r="B45" s="5" t="s">
        <v>428</v>
      </c>
      <c r="C45" s="5" t="s">
        <v>475</v>
      </c>
      <c r="D45" s="5" t="s">
        <v>428</v>
      </c>
    </row>
    <row r="46" spans="1:4" x14ac:dyDescent="0.35">
      <c r="A46" s="5" t="s">
        <v>476</v>
      </c>
      <c r="B46" s="5" t="s">
        <v>428</v>
      </c>
      <c r="C46" s="5" t="s">
        <v>428</v>
      </c>
      <c r="D46" s="5" t="s">
        <v>428</v>
      </c>
    </row>
    <row r="47" spans="1:4" x14ac:dyDescent="0.35">
      <c r="A47" s="5" t="s">
        <v>477</v>
      </c>
      <c r="B47" s="5" t="s">
        <v>475</v>
      </c>
      <c r="C47" s="5" t="s">
        <v>428</v>
      </c>
      <c r="D47" s="5" t="s">
        <v>428</v>
      </c>
    </row>
    <row r="48" spans="1:4" x14ac:dyDescent="0.35">
      <c r="A48" s="5" t="s">
        <v>478</v>
      </c>
      <c r="B48" s="5" t="s">
        <v>428</v>
      </c>
      <c r="C48" s="5" t="s">
        <v>428</v>
      </c>
      <c r="D48" s="5" t="s">
        <v>428</v>
      </c>
    </row>
    <row r="49" spans="1:4" x14ac:dyDescent="0.35">
      <c r="A49" s="5" t="s">
        <v>479</v>
      </c>
      <c r="B49" s="5" t="s">
        <v>428</v>
      </c>
      <c r="C49" s="5" t="s">
        <v>428</v>
      </c>
      <c r="D49" s="5" t="s">
        <v>428</v>
      </c>
    </row>
    <row r="50" spans="1:4" x14ac:dyDescent="0.35">
      <c r="A50" s="5" t="s">
        <v>480</v>
      </c>
      <c r="B50" s="5" t="s">
        <v>428</v>
      </c>
      <c r="C50" s="5" t="s">
        <v>428</v>
      </c>
      <c r="D50" s="5" t="s">
        <v>428</v>
      </c>
    </row>
    <row r="51" spans="1:4" x14ac:dyDescent="0.35">
      <c r="A51" s="5"/>
      <c r="B51" s="5"/>
      <c r="C51" s="5"/>
      <c r="D51" s="5"/>
    </row>
    <row r="52" spans="1:4" x14ac:dyDescent="0.35">
      <c r="A52" s="30" t="s">
        <v>481</v>
      </c>
      <c r="B52" s="26"/>
      <c r="C52" s="26"/>
      <c r="D52" s="26"/>
    </row>
    <row r="53" spans="1:4" x14ac:dyDescent="0.35">
      <c r="A53" s="5" t="s">
        <v>482</v>
      </c>
      <c r="B53" s="5" t="s">
        <v>483</v>
      </c>
      <c r="C53" s="5" t="s">
        <v>484</v>
      </c>
      <c r="D53" s="5" t="s">
        <v>485</v>
      </c>
    </row>
    <row r="54" spans="1:4" ht="26" x14ac:dyDescent="0.35">
      <c r="A54" s="5" t="s">
        <v>486</v>
      </c>
      <c r="B54" s="5" t="s">
        <v>487</v>
      </c>
      <c r="C54" s="5" t="s">
        <v>488</v>
      </c>
      <c r="D54" s="5" t="s">
        <v>489</v>
      </c>
    </row>
    <row r="55" spans="1:4" ht="26" x14ac:dyDescent="0.35">
      <c r="A55" s="5" t="s">
        <v>490</v>
      </c>
      <c r="B55" s="5" t="s">
        <v>491</v>
      </c>
      <c r="C55" s="5" t="s">
        <v>492</v>
      </c>
      <c r="D55" s="5" t="s">
        <v>493</v>
      </c>
    </row>
    <row r="56" spans="1:4" ht="26" x14ac:dyDescent="0.35">
      <c r="A56" s="5" t="s">
        <v>494</v>
      </c>
      <c r="B56" s="5" t="s">
        <v>495</v>
      </c>
      <c r="C56" s="5" t="s">
        <v>496</v>
      </c>
      <c r="D56" s="5" t="s">
        <v>497</v>
      </c>
    </row>
    <row r="57" spans="1:4" x14ac:dyDescent="0.35">
      <c r="A57" s="5" t="s">
        <v>498</v>
      </c>
      <c r="B57" s="5" t="s">
        <v>495</v>
      </c>
      <c r="C57" s="5" t="s">
        <v>499</v>
      </c>
      <c r="D57" s="5" t="s">
        <v>500</v>
      </c>
    </row>
    <row r="58" spans="1:4" x14ac:dyDescent="0.35">
      <c r="A58" s="5" t="s">
        <v>261</v>
      </c>
      <c r="B58" s="5" t="s">
        <v>487</v>
      </c>
      <c r="C58" s="5" t="s">
        <v>501</v>
      </c>
      <c r="D58" s="5" t="s">
        <v>502</v>
      </c>
    </row>
    <row r="59" spans="1:4" x14ac:dyDescent="0.35">
      <c r="A59" s="5" t="s">
        <v>503</v>
      </c>
      <c r="B59" s="5" t="s">
        <v>487</v>
      </c>
      <c r="C59" s="5" t="s">
        <v>504</v>
      </c>
      <c r="D59" s="5" t="s">
        <v>505</v>
      </c>
    </row>
    <row r="60" spans="1:4" x14ac:dyDescent="0.35">
      <c r="A60" s="13" t="s">
        <v>506</v>
      </c>
      <c r="B60" s="5" t="s">
        <v>507</v>
      </c>
      <c r="C60" s="5"/>
      <c r="D60" s="5"/>
    </row>
    <row r="61" spans="1:4" x14ac:dyDescent="0.35">
      <c r="A61" s="5"/>
      <c r="B61" s="5"/>
      <c r="C61" s="5"/>
      <c r="D61" s="5"/>
    </row>
    <row r="62" spans="1:4" x14ac:dyDescent="0.35">
      <c r="A62" s="30" t="s">
        <v>508</v>
      </c>
      <c r="B62" s="26"/>
      <c r="C62" s="26"/>
      <c r="D62" s="26"/>
    </row>
    <row r="63" spans="1:4" x14ac:dyDescent="0.35">
      <c r="A63" s="5" t="s">
        <v>509</v>
      </c>
      <c r="B63" s="5" t="s">
        <v>510</v>
      </c>
      <c r="C63" s="5" t="s">
        <v>511</v>
      </c>
      <c r="D63" s="5" t="s">
        <v>512</v>
      </c>
    </row>
    <row r="64" spans="1:4" x14ac:dyDescent="0.35">
      <c r="A64" s="5" t="s">
        <v>513</v>
      </c>
      <c r="B64" s="5" t="s">
        <v>323</v>
      </c>
      <c r="C64" s="5" t="s">
        <v>321</v>
      </c>
      <c r="D64" s="5" t="s">
        <v>443</v>
      </c>
    </row>
    <row r="65" spans="1:4" x14ac:dyDescent="0.35">
      <c r="A65" s="5" t="s">
        <v>514</v>
      </c>
      <c r="B65" s="5" t="s">
        <v>323</v>
      </c>
      <c r="C65" s="5" t="s">
        <v>321</v>
      </c>
      <c r="D65" s="5" t="s">
        <v>443</v>
      </c>
    </row>
    <row r="66" spans="1:4" x14ac:dyDescent="0.35">
      <c r="A66" s="5" t="s">
        <v>515</v>
      </c>
      <c r="B66" s="5" t="s">
        <v>516</v>
      </c>
      <c r="C66" s="5" t="s">
        <v>323</v>
      </c>
      <c r="D66" s="5" t="s">
        <v>443</v>
      </c>
    </row>
    <row r="67" spans="1:4" x14ac:dyDescent="0.35">
      <c r="A67" s="5" t="s">
        <v>517</v>
      </c>
      <c r="B67" s="5" t="s">
        <v>516</v>
      </c>
      <c r="C67" s="5" t="s">
        <v>321</v>
      </c>
      <c r="D67" s="5" t="s">
        <v>443</v>
      </c>
    </row>
    <row r="68" spans="1:4" x14ac:dyDescent="0.35">
      <c r="A68" s="5" t="s">
        <v>518</v>
      </c>
      <c r="B68" s="5" t="s">
        <v>323</v>
      </c>
      <c r="C68" s="5" t="s">
        <v>321</v>
      </c>
      <c r="D68" s="5" t="s">
        <v>443</v>
      </c>
    </row>
    <row r="69" spans="1:4" x14ac:dyDescent="0.35">
      <c r="A69" s="5"/>
      <c r="B69" s="5"/>
      <c r="C69" s="5"/>
      <c r="D69" s="5"/>
    </row>
    <row r="70" spans="1:4" x14ac:dyDescent="0.35">
      <c r="A70" s="30" t="s">
        <v>519</v>
      </c>
      <c r="B70" s="26"/>
      <c r="C70" s="26"/>
      <c r="D70" s="26"/>
    </row>
    <row r="71" spans="1:4" x14ac:dyDescent="0.35">
      <c r="A71" s="5" t="s">
        <v>520</v>
      </c>
      <c r="B71" s="5" t="s">
        <v>521</v>
      </c>
      <c r="C71" s="5" t="s">
        <v>522</v>
      </c>
      <c r="D71" s="5" t="s">
        <v>523</v>
      </c>
    </row>
    <row r="72" spans="1:4" x14ac:dyDescent="0.35">
      <c r="A72" s="5" t="s">
        <v>524</v>
      </c>
      <c r="B72" s="5" t="s">
        <v>525</v>
      </c>
      <c r="C72" s="5" t="s">
        <v>526</v>
      </c>
      <c r="D72" s="5" t="s">
        <v>527</v>
      </c>
    </row>
    <row r="73" spans="1:4" x14ac:dyDescent="0.35">
      <c r="A73" s="5" t="s">
        <v>528</v>
      </c>
      <c r="B73" s="5" t="s">
        <v>525</v>
      </c>
      <c r="C73" s="5" t="s">
        <v>529</v>
      </c>
      <c r="D73" s="5" t="s">
        <v>530</v>
      </c>
    </row>
    <row r="74" spans="1:4" x14ac:dyDescent="0.35">
      <c r="A74" s="5" t="s">
        <v>531</v>
      </c>
      <c r="B74" s="5" t="s">
        <v>525</v>
      </c>
      <c r="C74" s="5" t="s">
        <v>532</v>
      </c>
      <c r="D74" s="5" t="s">
        <v>533</v>
      </c>
    </row>
    <row r="75" spans="1:4" x14ac:dyDescent="0.35">
      <c r="A75" s="5" t="s">
        <v>534</v>
      </c>
      <c r="B75" s="5" t="s">
        <v>525</v>
      </c>
      <c r="C75" s="5" t="s">
        <v>526</v>
      </c>
      <c r="D75" s="5" t="s">
        <v>535</v>
      </c>
    </row>
    <row r="76" spans="1:4" x14ac:dyDescent="0.35">
      <c r="A76" s="5" t="s">
        <v>536</v>
      </c>
      <c r="B76" s="5" t="s">
        <v>525</v>
      </c>
      <c r="C76" s="5" t="s">
        <v>526</v>
      </c>
      <c r="D76" s="5" t="s">
        <v>537</v>
      </c>
    </row>
    <row r="77" spans="1:4" x14ac:dyDescent="0.35">
      <c r="A77" s="5"/>
      <c r="B77" s="5"/>
      <c r="C77" s="5"/>
      <c r="D77" s="5"/>
    </row>
    <row r="78" spans="1:4" x14ac:dyDescent="0.35">
      <c r="A78" s="30" t="s">
        <v>538</v>
      </c>
      <c r="B78" s="26"/>
      <c r="C78" s="26"/>
      <c r="D78" s="26"/>
    </row>
    <row r="79" spans="1:4" x14ac:dyDescent="0.35">
      <c r="A79" s="5" t="s">
        <v>539</v>
      </c>
      <c r="B79" s="5" t="s">
        <v>540</v>
      </c>
      <c r="C79" s="5" t="s">
        <v>541</v>
      </c>
      <c r="D79" s="5" t="s">
        <v>542</v>
      </c>
    </row>
    <row r="80" spans="1:4" x14ac:dyDescent="0.35">
      <c r="A80" s="5" t="s">
        <v>543</v>
      </c>
      <c r="B80" s="5" t="s">
        <v>544</v>
      </c>
      <c r="C80" s="5" t="s">
        <v>432</v>
      </c>
      <c r="D80" s="5" t="s">
        <v>545</v>
      </c>
    </row>
    <row r="81" spans="1:4" x14ac:dyDescent="0.35">
      <c r="A81" s="5" t="s">
        <v>546</v>
      </c>
      <c r="B81" s="5" t="s">
        <v>544</v>
      </c>
      <c r="C81" s="5" t="s">
        <v>432</v>
      </c>
      <c r="D81" s="5" t="s">
        <v>547</v>
      </c>
    </row>
    <row r="82" spans="1:4" x14ac:dyDescent="0.35">
      <c r="A82" s="5" t="s">
        <v>548</v>
      </c>
      <c r="B82" s="5" t="s">
        <v>544</v>
      </c>
      <c r="C82" s="5" t="s">
        <v>432</v>
      </c>
      <c r="D82" s="5" t="s">
        <v>547</v>
      </c>
    </row>
    <row r="83" spans="1:4" x14ac:dyDescent="0.35">
      <c r="A83" s="5" t="s">
        <v>549</v>
      </c>
      <c r="B83" s="5" t="s">
        <v>544</v>
      </c>
      <c r="C83" s="5" t="s">
        <v>432</v>
      </c>
      <c r="D83" s="5" t="s">
        <v>547</v>
      </c>
    </row>
    <row r="84" spans="1:4" x14ac:dyDescent="0.35">
      <c r="A84" s="5"/>
      <c r="B84" s="5"/>
      <c r="C84" s="5"/>
      <c r="D84" s="5"/>
    </row>
    <row r="85" spans="1:4" x14ac:dyDescent="0.35">
      <c r="A85" s="30" t="s">
        <v>550</v>
      </c>
      <c r="B85" s="26"/>
      <c r="C85" s="26"/>
      <c r="D85" s="26"/>
    </row>
    <row r="86" spans="1:4" x14ac:dyDescent="0.35">
      <c r="A86" s="5" t="s">
        <v>551</v>
      </c>
      <c r="B86" s="5" t="s">
        <v>552</v>
      </c>
      <c r="C86" s="5" t="s">
        <v>553</v>
      </c>
      <c r="D86" s="5" t="s">
        <v>554</v>
      </c>
    </row>
    <row r="87" spans="1:4" x14ac:dyDescent="0.35">
      <c r="A87" s="13" t="s">
        <v>555</v>
      </c>
      <c r="B87" s="5" t="s">
        <v>420</v>
      </c>
      <c r="C87" s="5"/>
      <c r="D87" s="5"/>
    </row>
    <row r="88" spans="1:4" x14ac:dyDescent="0.35">
      <c r="A88" s="13" t="s">
        <v>556</v>
      </c>
      <c r="B88" s="5" t="s">
        <v>557</v>
      </c>
      <c r="C88" s="5"/>
      <c r="D88" s="5"/>
    </row>
    <row r="89" spans="1:4" x14ac:dyDescent="0.35">
      <c r="A89" s="13" t="s">
        <v>558</v>
      </c>
      <c r="B89" s="5" t="s">
        <v>559</v>
      </c>
      <c r="C89" s="5"/>
      <c r="D89" s="5"/>
    </row>
    <row r="90" spans="1:4" x14ac:dyDescent="0.35">
      <c r="A90" s="13" t="s">
        <v>560</v>
      </c>
      <c r="B90" s="5" t="s">
        <v>561</v>
      </c>
      <c r="C90" s="5"/>
      <c r="D90" s="5"/>
    </row>
    <row r="91" spans="1:4" x14ac:dyDescent="0.35">
      <c r="A91" s="13" t="s">
        <v>562</v>
      </c>
      <c r="B91" s="5" t="s">
        <v>563</v>
      </c>
      <c r="C91" s="5"/>
      <c r="D91" s="5"/>
    </row>
    <row r="92" spans="1:4" x14ac:dyDescent="0.35">
      <c r="A92" s="13" t="s">
        <v>564</v>
      </c>
      <c r="B92" s="5" t="s">
        <v>565</v>
      </c>
      <c r="C92" s="5"/>
      <c r="D92" s="5"/>
    </row>
  </sheetData>
  <mergeCells count="11">
    <mergeCell ref="A78:D78"/>
    <mergeCell ref="A38:D38"/>
    <mergeCell ref="A29:D29"/>
    <mergeCell ref="A52:D52"/>
    <mergeCell ref="A85:D85"/>
    <mergeCell ref="A42:D42"/>
    <mergeCell ref="A1:D1"/>
    <mergeCell ref="A5:D5"/>
    <mergeCell ref="A70:D70"/>
    <mergeCell ref="A22:D22"/>
    <mergeCell ref="A62:D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4"/>
  <sheetViews>
    <sheetView workbookViewId="0"/>
  </sheetViews>
  <sheetFormatPr defaultRowHeight="14.5" x14ac:dyDescent="0.35"/>
  <cols>
    <col min="1" max="1" width="35" customWidth="1"/>
    <col min="2" max="2" width="30" customWidth="1"/>
    <col min="3" max="3" width="40" customWidth="1"/>
    <col min="4" max="4" width="20" customWidth="1"/>
  </cols>
  <sheetData>
    <row r="1" spans="1:4" x14ac:dyDescent="0.35">
      <c r="A1" s="29" t="s">
        <v>566</v>
      </c>
      <c r="B1" s="26"/>
      <c r="C1" s="26"/>
      <c r="D1" s="26"/>
    </row>
    <row r="3" spans="1:4" x14ac:dyDescent="0.35">
      <c r="A3" s="32" t="s">
        <v>567</v>
      </c>
      <c r="B3" s="26"/>
      <c r="C3" s="26"/>
      <c r="D3" s="26"/>
    </row>
    <row r="4" spans="1:4" x14ac:dyDescent="0.35">
      <c r="A4" s="5" t="s">
        <v>568</v>
      </c>
      <c r="B4" s="5" t="s">
        <v>511</v>
      </c>
      <c r="C4" s="5" t="s">
        <v>569</v>
      </c>
      <c r="D4" s="5"/>
    </row>
    <row r="5" spans="1:4" ht="26" x14ac:dyDescent="0.35">
      <c r="A5" s="5" t="s">
        <v>570</v>
      </c>
      <c r="B5" s="5" t="s">
        <v>321</v>
      </c>
      <c r="C5" s="5" t="s">
        <v>571</v>
      </c>
      <c r="D5" s="5"/>
    </row>
    <row r="6" spans="1:4" ht="26" x14ac:dyDescent="0.35">
      <c r="A6" s="5" t="s">
        <v>572</v>
      </c>
      <c r="B6" s="5" t="s">
        <v>319</v>
      </c>
      <c r="C6" s="5" t="s">
        <v>573</v>
      </c>
      <c r="D6" s="5"/>
    </row>
    <row r="7" spans="1:4" x14ac:dyDescent="0.35">
      <c r="A7" s="5" t="s">
        <v>574</v>
      </c>
      <c r="B7" s="5" t="s">
        <v>321</v>
      </c>
      <c r="C7" s="5" t="s">
        <v>575</v>
      </c>
      <c r="D7" s="5"/>
    </row>
    <row r="8" spans="1:4" x14ac:dyDescent="0.35">
      <c r="A8" s="5" t="s">
        <v>576</v>
      </c>
      <c r="B8" s="5" t="s">
        <v>321</v>
      </c>
      <c r="C8" s="5" t="s">
        <v>577</v>
      </c>
      <c r="D8" s="5"/>
    </row>
    <row r="9" spans="1:4" x14ac:dyDescent="0.35">
      <c r="A9" s="5" t="s">
        <v>578</v>
      </c>
      <c r="B9" s="5" t="s">
        <v>323</v>
      </c>
      <c r="C9" s="5" t="s">
        <v>579</v>
      </c>
      <c r="D9" s="5"/>
    </row>
    <row r="10" spans="1:4" x14ac:dyDescent="0.35">
      <c r="A10" s="5" t="s">
        <v>580</v>
      </c>
      <c r="B10" s="5" t="s">
        <v>321</v>
      </c>
      <c r="C10" s="5" t="s">
        <v>581</v>
      </c>
      <c r="D10" s="5"/>
    </row>
    <row r="11" spans="1:4" x14ac:dyDescent="0.35">
      <c r="A11" s="5" t="s">
        <v>582</v>
      </c>
      <c r="B11" s="5" t="s">
        <v>319</v>
      </c>
      <c r="C11" s="5" t="s">
        <v>583</v>
      </c>
      <c r="D11" s="5"/>
    </row>
    <row r="12" spans="1:4" x14ac:dyDescent="0.35">
      <c r="A12" s="5" t="s">
        <v>584</v>
      </c>
      <c r="B12" s="5" t="s">
        <v>321</v>
      </c>
      <c r="C12" s="5" t="s">
        <v>585</v>
      </c>
      <c r="D12" s="5"/>
    </row>
    <row r="13" spans="1:4" x14ac:dyDescent="0.35">
      <c r="A13" s="5"/>
      <c r="B13" s="5"/>
      <c r="C13" s="5"/>
      <c r="D13" s="5"/>
    </row>
    <row r="14" spans="1:4" x14ac:dyDescent="0.35">
      <c r="A14" s="32" t="s">
        <v>586</v>
      </c>
      <c r="B14" s="26"/>
      <c r="C14" s="26"/>
      <c r="D14" s="26"/>
    </row>
    <row r="15" spans="1:4" x14ac:dyDescent="0.35">
      <c r="A15" s="5" t="s">
        <v>587</v>
      </c>
      <c r="B15" s="5" t="s">
        <v>588</v>
      </c>
      <c r="C15" s="5" t="s">
        <v>589</v>
      </c>
      <c r="D15" s="5"/>
    </row>
    <row r="16" spans="1:4" x14ac:dyDescent="0.35">
      <c r="A16" s="5" t="s">
        <v>590</v>
      </c>
      <c r="B16" s="5" t="s">
        <v>591</v>
      </c>
      <c r="C16" s="5" t="s">
        <v>592</v>
      </c>
      <c r="D16" s="5"/>
    </row>
    <row r="17" spans="1:4" x14ac:dyDescent="0.35">
      <c r="A17" s="5"/>
      <c r="B17" s="5"/>
      <c r="C17" s="5"/>
      <c r="D17" s="5"/>
    </row>
    <row r="18" spans="1:4" x14ac:dyDescent="0.35">
      <c r="A18" s="5"/>
      <c r="B18" s="5"/>
      <c r="C18" s="5"/>
      <c r="D18" s="5"/>
    </row>
    <row r="19" spans="1:4" x14ac:dyDescent="0.35">
      <c r="A19" s="5"/>
      <c r="B19" s="5"/>
      <c r="C19" s="5"/>
      <c r="D19" s="5"/>
    </row>
    <row r="20" spans="1:4" x14ac:dyDescent="0.35">
      <c r="A20" s="32" t="s">
        <v>593</v>
      </c>
      <c r="B20" s="26"/>
      <c r="C20" s="26"/>
      <c r="D20" s="26"/>
    </row>
    <row r="21" spans="1:4" x14ac:dyDescent="0.35">
      <c r="A21" s="5" t="s">
        <v>594</v>
      </c>
      <c r="B21" s="5" t="s">
        <v>511</v>
      </c>
      <c r="C21" s="5" t="s">
        <v>595</v>
      </c>
      <c r="D21" s="5"/>
    </row>
    <row r="22" spans="1:4" x14ac:dyDescent="0.35">
      <c r="A22" s="5" t="s">
        <v>596</v>
      </c>
      <c r="B22" s="5" t="s">
        <v>597</v>
      </c>
      <c r="C22" s="5" t="s">
        <v>598</v>
      </c>
      <c r="D22" s="5"/>
    </row>
    <row r="23" spans="1:4" x14ac:dyDescent="0.35">
      <c r="A23" s="5"/>
      <c r="B23" s="5"/>
      <c r="C23" s="5"/>
      <c r="D23" s="5"/>
    </row>
    <row r="24" spans="1:4" x14ac:dyDescent="0.35">
      <c r="A24" s="5"/>
      <c r="B24" s="5"/>
      <c r="C24" s="5"/>
      <c r="D24" s="5"/>
    </row>
    <row r="25" spans="1:4" x14ac:dyDescent="0.35">
      <c r="A25" s="5"/>
      <c r="B25" s="5"/>
      <c r="C25" s="5"/>
      <c r="D25" s="5"/>
    </row>
    <row r="26" spans="1:4" x14ac:dyDescent="0.35">
      <c r="A26" s="32" t="s">
        <v>599</v>
      </c>
      <c r="B26" s="26"/>
      <c r="C26" s="26"/>
      <c r="D26" s="26"/>
    </row>
    <row r="27" spans="1:4" x14ac:dyDescent="0.35">
      <c r="A27" s="5" t="s">
        <v>434</v>
      </c>
      <c r="B27" s="5" t="s">
        <v>600</v>
      </c>
      <c r="C27" s="5"/>
      <c r="D27" s="5"/>
    </row>
    <row r="28" spans="1:4" x14ac:dyDescent="0.35">
      <c r="A28" s="5" t="s">
        <v>436</v>
      </c>
      <c r="B28" s="5" t="s">
        <v>601</v>
      </c>
      <c r="C28" s="5"/>
      <c r="D28" s="5"/>
    </row>
    <row r="29" spans="1:4" x14ac:dyDescent="0.35">
      <c r="A29" s="5" t="s">
        <v>438</v>
      </c>
      <c r="B29" s="5" t="s">
        <v>602</v>
      </c>
      <c r="C29" s="5"/>
      <c r="D29" s="5"/>
    </row>
    <row r="30" spans="1:4" x14ac:dyDescent="0.35">
      <c r="A30" s="5" t="s">
        <v>603</v>
      </c>
      <c r="B30" s="5" t="s">
        <v>604</v>
      </c>
      <c r="C30" s="5"/>
      <c r="D30" s="5"/>
    </row>
    <row r="31" spans="1:4" x14ac:dyDescent="0.35">
      <c r="A31" s="5" t="s">
        <v>605</v>
      </c>
      <c r="B31" s="5" t="s">
        <v>606</v>
      </c>
      <c r="C31" s="5"/>
      <c r="D31" s="5"/>
    </row>
    <row r="32" spans="1:4" x14ac:dyDescent="0.35">
      <c r="A32" s="5"/>
      <c r="B32" s="5"/>
      <c r="C32" s="5"/>
      <c r="D32" s="5"/>
    </row>
    <row r="33" spans="1:4" x14ac:dyDescent="0.35">
      <c r="A33" s="32" t="s">
        <v>607</v>
      </c>
      <c r="B33" s="26"/>
      <c r="C33" s="26"/>
      <c r="D33" s="26"/>
    </row>
    <row r="34" spans="1:4" x14ac:dyDescent="0.35">
      <c r="A34" s="5" t="s">
        <v>482</v>
      </c>
      <c r="B34" s="5" t="s">
        <v>483</v>
      </c>
      <c r="C34" s="5" t="s">
        <v>123</v>
      </c>
      <c r="D34" s="5"/>
    </row>
    <row r="35" spans="1:4" x14ac:dyDescent="0.35">
      <c r="A35" s="5" t="s">
        <v>23</v>
      </c>
      <c r="B35" s="5" t="s">
        <v>20</v>
      </c>
      <c r="C35" s="5" t="s">
        <v>608</v>
      </c>
      <c r="D35" s="5"/>
    </row>
    <row r="36" spans="1:4" x14ac:dyDescent="0.35">
      <c r="A36" s="5" t="s">
        <v>609</v>
      </c>
      <c r="B36" s="5" t="s">
        <v>35</v>
      </c>
      <c r="C36" s="5" t="s">
        <v>610</v>
      </c>
      <c r="D36" s="5"/>
    </row>
    <row r="37" spans="1:4" x14ac:dyDescent="0.35">
      <c r="A37" s="5" t="s">
        <v>611</v>
      </c>
      <c r="B37" s="5" t="s">
        <v>20</v>
      </c>
      <c r="C37" s="5" t="s">
        <v>612</v>
      </c>
      <c r="D37" s="5"/>
    </row>
    <row r="38" spans="1:4" x14ac:dyDescent="0.35">
      <c r="A38" s="5" t="s">
        <v>613</v>
      </c>
      <c r="B38" s="5" t="s">
        <v>35</v>
      </c>
      <c r="C38" s="5" t="s">
        <v>614</v>
      </c>
      <c r="D38" s="5"/>
    </row>
    <row r="39" spans="1:4" x14ac:dyDescent="0.35">
      <c r="A39" s="5" t="s">
        <v>73</v>
      </c>
      <c r="B39" s="5" t="s">
        <v>20</v>
      </c>
      <c r="C39" s="5" t="s">
        <v>615</v>
      </c>
      <c r="D39" s="5"/>
    </row>
    <row r="40" spans="1:4" x14ac:dyDescent="0.35">
      <c r="A40" s="5" t="s">
        <v>616</v>
      </c>
      <c r="B40" s="5" t="s">
        <v>70</v>
      </c>
      <c r="C40" s="5" t="s">
        <v>617</v>
      </c>
      <c r="D40" s="5"/>
    </row>
    <row r="41" spans="1:4" x14ac:dyDescent="0.35">
      <c r="A41" s="5" t="s">
        <v>618</v>
      </c>
      <c r="B41" s="5" t="s">
        <v>20</v>
      </c>
      <c r="C41" s="5" t="s">
        <v>619</v>
      </c>
      <c r="D41" s="5"/>
    </row>
    <row r="42" spans="1:4" x14ac:dyDescent="0.35">
      <c r="A42" s="5" t="s">
        <v>620</v>
      </c>
      <c r="B42" s="5" t="s">
        <v>35</v>
      </c>
      <c r="C42" s="5" t="s">
        <v>621</v>
      </c>
      <c r="D42" s="5"/>
    </row>
    <row r="43" spans="1:4" x14ac:dyDescent="0.35">
      <c r="A43" s="5" t="s">
        <v>107</v>
      </c>
      <c r="B43" s="5" t="s">
        <v>109</v>
      </c>
      <c r="C43" s="5" t="s">
        <v>622</v>
      </c>
      <c r="D43" s="5"/>
    </row>
    <row r="44" spans="1:4" x14ac:dyDescent="0.35">
      <c r="A44" s="32" t="s">
        <v>623</v>
      </c>
      <c r="B44" s="26"/>
      <c r="C44" s="26"/>
      <c r="D44" s="26"/>
    </row>
  </sheetData>
  <mergeCells count="7">
    <mergeCell ref="A44:D44"/>
    <mergeCell ref="A1:D1"/>
    <mergeCell ref="A20:D20"/>
    <mergeCell ref="A26:D26"/>
    <mergeCell ref="A3:D3"/>
    <mergeCell ref="A33:D33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4"/>
  <sheetViews>
    <sheetView workbookViewId="0"/>
  </sheetViews>
  <sheetFormatPr defaultRowHeight="14.5" x14ac:dyDescent="0.35"/>
  <cols>
    <col min="1" max="1" width="30" customWidth="1"/>
    <col min="2" max="4" width="25" customWidth="1"/>
    <col min="5" max="5" width="10" customWidth="1"/>
    <col min="6" max="6" width="20" customWidth="1"/>
  </cols>
  <sheetData>
    <row r="1" spans="1:6" x14ac:dyDescent="0.35">
      <c r="A1" s="29" t="s">
        <v>624</v>
      </c>
      <c r="B1" s="26"/>
      <c r="C1" s="26"/>
      <c r="D1" s="26"/>
      <c r="E1" s="26"/>
      <c r="F1" s="26"/>
    </row>
    <row r="3" spans="1:6" x14ac:dyDescent="0.35">
      <c r="A3" s="33" t="s">
        <v>625</v>
      </c>
      <c r="B3" s="26"/>
      <c r="C3" s="26"/>
      <c r="D3" s="26"/>
      <c r="E3" s="26"/>
      <c r="F3" s="26"/>
    </row>
    <row r="5" spans="1:6" ht="15.5" x14ac:dyDescent="0.35">
      <c r="A5" s="3" t="s">
        <v>626</v>
      </c>
      <c r="B5" s="3" t="s">
        <v>627</v>
      </c>
      <c r="C5" s="3" t="s">
        <v>628</v>
      </c>
      <c r="D5" s="3" t="s">
        <v>629</v>
      </c>
      <c r="E5" s="3" t="s">
        <v>119</v>
      </c>
      <c r="F5" s="3" t="s">
        <v>589</v>
      </c>
    </row>
    <row r="6" spans="1:6" x14ac:dyDescent="0.35">
      <c r="A6" s="30" t="s">
        <v>630</v>
      </c>
      <c r="B6" s="26"/>
      <c r="C6" s="26"/>
      <c r="D6" s="26"/>
      <c r="E6" s="26"/>
      <c r="F6" s="26"/>
    </row>
    <row r="7" spans="1:6" x14ac:dyDescent="0.35">
      <c r="A7" s="5" t="s">
        <v>631</v>
      </c>
      <c r="B7" s="5" t="s">
        <v>632</v>
      </c>
      <c r="C7" s="5" t="s">
        <v>633</v>
      </c>
      <c r="D7" s="5" t="s">
        <v>634</v>
      </c>
      <c r="E7" s="5"/>
      <c r="F7" s="14" t="s">
        <v>635</v>
      </c>
    </row>
    <row r="8" spans="1:6" x14ac:dyDescent="0.35">
      <c r="A8" s="5" t="s">
        <v>636</v>
      </c>
      <c r="B8" s="5" t="s">
        <v>637</v>
      </c>
      <c r="C8" s="5" t="s">
        <v>638</v>
      </c>
      <c r="D8" s="5" t="s">
        <v>639</v>
      </c>
      <c r="E8" s="5"/>
      <c r="F8" s="14" t="s">
        <v>635</v>
      </c>
    </row>
    <row r="9" spans="1:6" x14ac:dyDescent="0.35">
      <c r="A9" s="5" t="s">
        <v>640</v>
      </c>
      <c r="B9" s="5" t="s">
        <v>641</v>
      </c>
      <c r="C9" s="5" t="s">
        <v>642</v>
      </c>
      <c r="D9" s="5" t="s">
        <v>643</v>
      </c>
      <c r="E9" s="5"/>
      <c r="F9" s="14" t="s">
        <v>635</v>
      </c>
    </row>
    <row r="10" spans="1:6" x14ac:dyDescent="0.35">
      <c r="A10" s="5" t="s">
        <v>644</v>
      </c>
      <c r="B10" s="5" t="s">
        <v>645</v>
      </c>
      <c r="C10" s="5" t="s">
        <v>645</v>
      </c>
      <c r="D10" s="5" t="s">
        <v>646</v>
      </c>
      <c r="E10" s="5"/>
      <c r="F10" s="14" t="s">
        <v>635</v>
      </c>
    </row>
    <row r="11" spans="1:6" x14ac:dyDescent="0.35">
      <c r="A11" s="5" t="s">
        <v>647</v>
      </c>
      <c r="B11" s="5"/>
      <c r="C11" s="5"/>
      <c r="D11" s="5"/>
      <c r="E11" s="5" t="s">
        <v>648</v>
      </c>
      <c r="F11" s="5"/>
    </row>
    <row r="12" spans="1:6" x14ac:dyDescent="0.35">
      <c r="A12" s="5" t="s">
        <v>649</v>
      </c>
      <c r="B12" s="5" t="s">
        <v>650</v>
      </c>
      <c r="C12" s="5" t="s">
        <v>651</v>
      </c>
      <c r="D12" s="5" t="s">
        <v>652</v>
      </c>
      <c r="E12" s="5"/>
      <c r="F12" s="14" t="s">
        <v>653</v>
      </c>
    </row>
    <row r="13" spans="1:6" x14ac:dyDescent="0.35">
      <c r="A13" s="5" t="s">
        <v>654</v>
      </c>
      <c r="B13" s="5" t="s">
        <v>655</v>
      </c>
      <c r="C13" s="5" t="s">
        <v>656</v>
      </c>
      <c r="D13" s="5" t="s">
        <v>657</v>
      </c>
      <c r="E13" s="5"/>
      <c r="F13" s="14" t="s">
        <v>635</v>
      </c>
    </row>
    <row r="14" spans="1:6" x14ac:dyDescent="0.35">
      <c r="A14" s="5" t="s">
        <v>658</v>
      </c>
      <c r="B14" s="5" t="s">
        <v>659</v>
      </c>
      <c r="C14" s="5" t="s">
        <v>660</v>
      </c>
      <c r="D14" s="5" t="s">
        <v>661</v>
      </c>
      <c r="E14" s="5"/>
      <c r="F14" s="14" t="s">
        <v>635</v>
      </c>
    </row>
    <row r="15" spans="1:6" x14ac:dyDescent="0.35">
      <c r="A15" s="5" t="s">
        <v>662</v>
      </c>
      <c r="B15" s="5" t="s">
        <v>663</v>
      </c>
      <c r="C15" s="5" t="s">
        <v>663</v>
      </c>
      <c r="D15" s="5" t="s">
        <v>664</v>
      </c>
      <c r="E15" s="5"/>
      <c r="F15" s="14" t="s">
        <v>635</v>
      </c>
    </row>
    <row r="16" spans="1:6" x14ac:dyDescent="0.35">
      <c r="A16" s="5" t="s">
        <v>476</v>
      </c>
      <c r="B16" s="5" t="s">
        <v>665</v>
      </c>
      <c r="C16" s="5" t="s">
        <v>666</v>
      </c>
      <c r="D16" s="5" t="s">
        <v>667</v>
      </c>
      <c r="E16" s="5"/>
      <c r="F16" s="14" t="s">
        <v>635</v>
      </c>
    </row>
    <row r="17" spans="1:6" x14ac:dyDescent="0.35">
      <c r="A17" s="5" t="s">
        <v>668</v>
      </c>
      <c r="B17" s="5" t="s">
        <v>669</v>
      </c>
      <c r="C17" s="5" t="s">
        <v>670</v>
      </c>
      <c r="D17" s="5" t="s">
        <v>671</v>
      </c>
      <c r="E17" s="5"/>
      <c r="F17" s="14" t="s">
        <v>635</v>
      </c>
    </row>
    <row r="18" spans="1:6" x14ac:dyDescent="0.35">
      <c r="A18" s="30" t="s">
        <v>672</v>
      </c>
      <c r="B18" s="26"/>
      <c r="C18" s="26"/>
      <c r="D18" s="26"/>
      <c r="E18" s="26"/>
      <c r="F18" s="26"/>
    </row>
    <row r="19" spans="1:6" x14ac:dyDescent="0.35">
      <c r="A19" s="5" t="s">
        <v>673</v>
      </c>
      <c r="B19" s="5" t="s">
        <v>674</v>
      </c>
      <c r="C19" s="5" t="s">
        <v>675</v>
      </c>
      <c r="D19" s="5" t="s">
        <v>676</v>
      </c>
      <c r="E19" s="5"/>
      <c r="F19" s="14" t="s">
        <v>653</v>
      </c>
    </row>
    <row r="20" spans="1:6" x14ac:dyDescent="0.35">
      <c r="A20" s="5" t="s">
        <v>677</v>
      </c>
      <c r="B20" s="5" t="s">
        <v>678</v>
      </c>
      <c r="C20" s="5" t="s">
        <v>679</v>
      </c>
      <c r="D20" s="5" t="s">
        <v>680</v>
      </c>
      <c r="E20" s="5"/>
      <c r="F20" s="14" t="s">
        <v>653</v>
      </c>
    </row>
    <row r="21" spans="1:6" x14ac:dyDescent="0.35">
      <c r="A21" s="5" t="s">
        <v>220</v>
      </c>
      <c r="B21" s="5" t="s">
        <v>681</v>
      </c>
      <c r="C21" s="5" t="s">
        <v>682</v>
      </c>
      <c r="D21" s="5" t="s">
        <v>683</v>
      </c>
      <c r="E21" s="5"/>
      <c r="F21" s="14" t="s">
        <v>653</v>
      </c>
    </row>
    <row r="22" spans="1:6" x14ac:dyDescent="0.35">
      <c r="A22" s="5" t="s">
        <v>684</v>
      </c>
      <c r="B22" s="5" t="s">
        <v>685</v>
      </c>
      <c r="C22" s="5" t="s">
        <v>321</v>
      </c>
      <c r="D22" s="5" t="s">
        <v>686</v>
      </c>
      <c r="E22" s="5"/>
      <c r="F22" s="14" t="s">
        <v>653</v>
      </c>
    </row>
    <row r="23" spans="1:6" x14ac:dyDescent="0.35">
      <c r="A23" s="5" t="s">
        <v>687</v>
      </c>
      <c r="B23" s="5" t="s">
        <v>688</v>
      </c>
      <c r="C23" s="5" t="s">
        <v>689</v>
      </c>
      <c r="D23" s="5" t="s">
        <v>690</v>
      </c>
      <c r="E23" s="5"/>
      <c r="F23" s="14" t="s">
        <v>653</v>
      </c>
    </row>
    <row r="24" spans="1:6" x14ac:dyDescent="0.35">
      <c r="A24" s="30" t="s">
        <v>691</v>
      </c>
      <c r="B24" s="26"/>
      <c r="C24" s="26"/>
      <c r="D24" s="26"/>
      <c r="E24" s="26"/>
      <c r="F24" s="26"/>
    </row>
    <row r="25" spans="1:6" x14ac:dyDescent="0.35">
      <c r="A25" s="5" t="s">
        <v>692</v>
      </c>
      <c r="B25" s="5" t="s">
        <v>693</v>
      </c>
      <c r="C25" s="5" t="s">
        <v>694</v>
      </c>
      <c r="D25" s="5" t="s">
        <v>694</v>
      </c>
      <c r="E25" s="5"/>
      <c r="F25" s="14" t="s">
        <v>695</v>
      </c>
    </row>
    <row r="26" spans="1:6" x14ac:dyDescent="0.35">
      <c r="A26" s="5" t="s">
        <v>696</v>
      </c>
      <c r="B26" s="5" t="s">
        <v>697</v>
      </c>
      <c r="C26" s="5" t="s">
        <v>698</v>
      </c>
      <c r="D26" s="5" t="s">
        <v>699</v>
      </c>
      <c r="E26" s="5"/>
      <c r="F26" s="14" t="s">
        <v>700</v>
      </c>
    </row>
    <row r="27" spans="1:6" x14ac:dyDescent="0.35">
      <c r="A27" s="5" t="s">
        <v>701</v>
      </c>
      <c r="B27" s="5" t="s">
        <v>702</v>
      </c>
      <c r="C27" s="5" t="s">
        <v>703</v>
      </c>
      <c r="D27" s="5" t="s">
        <v>646</v>
      </c>
      <c r="E27" s="5"/>
      <c r="F27" s="14" t="s">
        <v>635</v>
      </c>
    </row>
    <row r="28" spans="1:6" x14ac:dyDescent="0.35">
      <c r="A28" s="5" t="s">
        <v>704</v>
      </c>
      <c r="B28" s="5" t="s">
        <v>705</v>
      </c>
      <c r="C28" s="5" t="s">
        <v>705</v>
      </c>
      <c r="D28" s="5" t="s">
        <v>706</v>
      </c>
      <c r="E28" s="5"/>
      <c r="F28" s="14" t="s">
        <v>635</v>
      </c>
    </row>
    <row r="29" spans="1:6" x14ac:dyDescent="0.35">
      <c r="A29" s="5" t="s">
        <v>707</v>
      </c>
      <c r="B29" s="5" t="s">
        <v>708</v>
      </c>
      <c r="C29" s="5" t="s">
        <v>323</v>
      </c>
      <c r="D29" s="5" t="s">
        <v>709</v>
      </c>
      <c r="E29" s="5"/>
      <c r="F29" s="14" t="s">
        <v>635</v>
      </c>
    </row>
    <row r="30" spans="1:6" x14ac:dyDescent="0.35">
      <c r="A30" s="5" t="s">
        <v>710</v>
      </c>
      <c r="B30" s="5" t="s">
        <v>711</v>
      </c>
      <c r="C30" s="5" t="s">
        <v>323</v>
      </c>
      <c r="D30" s="5" t="s">
        <v>712</v>
      </c>
      <c r="E30" s="5"/>
      <c r="F30" s="14" t="s">
        <v>635</v>
      </c>
    </row>
    <row r="31" spans="1:6" x14ac:dyDescent="0.35">
      <c r="A31" s="30" t="s">
        <v>713</v>
      </c>
      <c r="B31" s="26"/>
      <c r="C31" s="26"/>
      <c r="D31" s="26"/>
      <c r="E31" s="26"/>
      <c r="F31" s="26"/>
    </row>
    <row r="32" spans="1:6" x14ac:dyDescent="0.35">
      <c r="A32" s="5" t="s">
        <v>714</v>
      </c>
      <c r="B32" s="5" t="s">
        <v>715</v>
      </c>
      <c r="C32" s="5" t="s">
        <v>716</v>
      </c>
      <c r="D32" s="5" t="s">
        <v>717</v>
      </c>
      <c r="E32" s="5"/>
      <c r="F32" s="14" t="s">
        <v>635</v>
      </c>
    </row>
    <row r="33" spans="1:6" x14ac:dyDescent="0.35">
      <c r="A33" s="5" t="s">
        <v>718</v>
      </c>
      <c r="B33" s="5" t="s">
        <v>719</v>
      </c>
      <c r="C33" s="5" t="s">
        <v>720</v>
      </c>
      <c r="D33" s="5" t="s">
        <v>646</v>
      </c>
      <c r="E33" s="5"/>
      <c r="F33" s="14" t="s">
        <v>635</v>
      </c>
    </row>
    <row r="34" spans="1:6" x14ac:dyDescent="0.35">
      <c r="A34" s="5" t="s">
        <v>721</v>
      </c>
      <c r="B34" s="5" t="s">
        <v>722</v>
      </c>
      <c r="C34" s="5" t="s">
        <v>722</v>
      </c>
      <c r="D34" s="5" t="s">
        <v>723</v>
      </c>
      <c r="E34" s="5"/>
      <c r="F34" s="14" t="s">
        <v>635</v>
      </c>
    </row>
    <row r="35" spans="1:6" x14ac:dyDescent="0.35">
      <c r="A35" s="5" t="s">
        <v>724</v>
      </c>
      <c r="B35" s="5" t="s">
        <v>725</v>
      </c>
      <c r="C35" s="5" t="s">
        <v>725</v>
      </c>
      <c r="D35" s="5" t="s">
        <v>726</v>
      </c>
      <c r="E35" s="5"/>
      <c r="F35" s="14" t="s">
        <v>635</v>
      </c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30" t="s">
        <v>727</v>
      </c>
      <c r="B37" s="26"/>
      <c r="C37" s="26"/>
      <c r="D37" s="26"/>
      <c r="E37" s="26"/>
      <c r="F37" s="26"/>
    </row>
    <row r="38" spans="1:6" x14ac:dyDescent="0.35">
      <c r="A38" s="5" t="s">
        <v>728</v>
      </c>
      <c r="B38" s="5" t="s">
        <v>729</v>
      </c>
      <c r="C38" s="5" t="s">
        <v>730</v>
      </c>
      <c r="D38" s="5" t="s">
        <v>731</v>
      </c>
      <c r="E38" s="5"/>
      <c r="F38" s="5"/>
    </row>
    <row r="39" spans="1:6" x14ac:dyDescent="0.35">
      <c r="A39" s="5"/>
      <c r="B39" s="5"/>
      <c r="C39" s="5"/>
      <c r="D39" s="5"/>
      <c r="E39" s="5"/>
      <c r="F39" s="5"/>
    </row>
    <row r="40" spans="1:6" x14ac:dyDescent="0.35">
      <c r="A40" s="30" t="s">
        <v>732</v>
      </c>
      <c r="B40" s="26"/>
      <c r="C40" s="26"/>
      <c r="D40" s="26"/>
      <c r="E40" s="26"/>
      <c r="F40" s="26"/>
    </row>
    <row r="41" spans="1:6" x14ac:dyDescent="0.35">
      <c r="A41" s="5"/>
      <c r="B41" s="5" t="s">
        <v>733</v>
      </c>
      <c r="C41" s="5" t="s">
        <v>734</v>
      </c>
      <c r="D41" s="5" t="s">
        <v>735</v>
      </c>
      <c r="E41" s="5"/>
      <c r="F41" s="5" t="s">
        <v>736</v>
      </c>
    </row>
    <row r="42" spans="1:6" x14ac:dyDescent="0.35">
      <c r="A42" s="5" t="s">
        <v>737</v>
      </c>
      <c r="B42" s="5" t="s">
        <v>738</v>
      </c>
      <c r="C42" s="5" t="s">
        <v>739</v>
      </c>
      <c r="D42" s="5" t="s">
        <v>740</v>
      </c>
      <c r="E42" s="5"/>
      <c r="F42" s="5" t="s">
        <v>734</v>
      </c>
    </row>
    <row r="43" spans="1:6" x14ac:dyDescent="0.35">
      <c r="A43" s="5" t="s">
        <v>741</v>
      </c>
      <c r="B43" s="5" t="s">
        <v>742</v>
      </c>
      <c r="C43" s="5" t="s">
        <v>743</v>
      </c>
      <c r="D43" s="5" t="s">
        <v>739</v>
      </c>
      <c r="E43" s="5"/>
      <c r="F43" s="5" t="s">
        <v>744</v>
      </c>
    </row>
    <row r="44" spans="1:6" x14ac:dyDescent="0.35">
      <c r="A44" s="5" t="s">
        <v>745</v>
      </c>
      <c r="B44" s="5" t="s">
        <v>746</v>
      </c>
      <c r="C44" s="5" t="s">
        <v>747</v>
      </c>
      <c r="D44" s="5" t="s">
        <v>739</v>
      </c>
      <c r="E44" s="5"/>
      <c r="F44" s="5" t="s">
        <v>735</v>
      </c>
    </row>
    <row r="45" spans="1:6" x14ac:dyDescent="0.35">
      <c r="A45" s="5" t="s">
        <v>748</v>
      </c>
      <c r="B45" s="5" t="s">
        <v>749</v>
      </c>
      <c r="C45" s="5" t="s">
        <v>739</v>
      </c>
      <c r="D45" s="5" t="s">
        <v>750</v>
      </c>
      <c r="E45" s="5"/>
      <c r="F45" s="5" t="s">
        <v>734</v>
      </c>
    </row>
    <row r="46" spans="1:6" x14ac:dyDescent="0.35">
      <c r="A46" s="5" t="s">
        <v>751</v>
      </c>
      <c r="B46" s="5" t="s">
        <v>752</v>
      </c>
      <c r="C46" s="5" t="s">
        <v>753</v>
      </c>
      <c r="D46" s="5" t="s">
        <v>739</v>
      </c>
      <c r="E46" s="5"/>
      <c r="F46" s="5" t="s">
        <v>754</v>
      </c>
    </row>
    <row r="47" spans="1:6" x14ac:dyDescent="0.35">
      <c r="A47" s="5" t="s">
        <v>755</v>
      </c>
      <c r="B47" s="5" t="s">
        <v>756</v>
      </c>
      <c r="C47" s="5" t="s">
        <v>739</v>
      </c>
      <c r="D47" s="5" t="s">
        <v>757</v>
      </c>
      <c r="E47" s="5"/>
      <c r="F47" s="5" t="s">
        <v>734</v>
      </c>
    </row>
    <row r="48" spans="1:6" x14ac:dyDescent="0.35">
      <c r="A48" s="5" t="s">
        <v>758</v>
      </c>
      <c r="B48" s="5" t="s">
        <v>759</v>
      </c>
      <c r="C48" s="5" t="s">
        <v>760</v>
      </c>
      <c r="D48" s="5" t="s">
        <v>739</v>
      </c>
      <c r="E48" s="5"/>
      <c r="F48" s="5" t="s">
        <v>735</v>
      </c>
    </row>
    <row r="49" spans="1:6" x14ac:dyDescent="0.35">
      <c r="A49" s="5" t="s">
        <v>761</v>
      </c>
      <c r="B49" s="5" t="s">
        <v>739</v>
      </c>
      <c r="C49" s="5" t="s">
        <v>762</v>
      </c>
      <c r="D49" s="5" t="s">
        <v>763</v>
      </c>
      <c r="E49" s="5"/>
      <c r="F49" s="5" t="s">
        <v>733</v>
      </c>
    </row>
    <row r="50" spans="1:6" x14ac:dyDescent="0.35">
      <c r="A50" s="5"/>
      <c r="B50" s="5"/>
      <c r="C50" s="5"/>
      <c r="D50" s="5"/>
      <c r="E50" s="5"/>
      <c r="F50" s="5"/>
    </row>
    <row r="51" spans="1:6" x14ac:dyDescent="0.35">
      <c r="A51" s="30" t="s">
        <v>764</v>
      </c>
      <c r="B51" s="26"/>
      <c r="C51" s="26"/>
      <c r="D51" s="26"/>
      <c r="E51" s="26"/>
      <c r="F51" s="26"/>
    </row>
    <row r="52" spans="1:6" x14ac:dyDescent="0.35">
      <c r="A52" s="5" t="s">
        <v>765</v>
      </c>
      <c r="B52" s="5" t="s">
        <v>766</v>
      </c>
      <c r="C52" s="5" t="s">
        <v>767</v>
      </c>
      <c r="D52" s="5" t="s">
        <v>768</v>
      </c>
      <c r="E52" s="5"/>
      <c r="F52" s="5"/>
    </row>
    <row r="53" spans="1:6" ht="39" x14ac:dyDescent="0.35">
      <c r="A53" s="5" t="s">
        <v>769</v>
      </c>
      <c r="B53" s="5" t="s">
        <v>770</v>
      </c>
      <c r="C53" s="5" t="s">
        <v>771</v>
      </c>
      <c r="D53" s="5" t="s">
        <v>772</v>
      </c>
      <c r="E53" s="5"/>
      <c r="F53" s="5"/>
    </row>
    <row r="54" spans="1:6" ht="39" x14ac:dyDescent="0.35">
      <c r="A54" s="5" t="s">
        <v>773</v>
      </c>
      <c r="B54" s="5" t="s">
        <v>774</v>
      </c>
      <c r="C54" s="5" t="s">
        <v>775</v>
      </c>
      <c r="D54" s="5" t="s">
        <v>776</v>
      </c>
      <c r="E54" s="5"/>
      <c r="F54" s="5"/>
    </row>
  </sheetData>
  <mergeCells count="9">
    <mergeCell ref="A24:F24"/>
    <mergeCell ref="A51:F51"/>
    <mergeCell ref="A1:F1"/>
    <mergeCell ref="A37:F37"/>
    <mergeCell ref="A31:F31"/>
    <mergeCell ref="A6:F6"/>
    <mergeCell ref="A40:F40"/>
    <mergeCell ref="A18:F18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6"/>
  <sheetViews>
    <sheetView workbookViewId="0"/>
  </sheetViews>
  <sheetFormatPr defaultRowHeight="14.5" x14ac:dyDescent="0.35"/>
  <cols>
    <col min="1" max="1" width="30" customWidth="1"/>
    <col min="2" max="7" width="15" customWidth="1"/>
  </cols>
  <sheetData>
    <row r="1" spans="1:7" x14ac:dyDescent="0.35">
      <c r="A1" s="29" t="s">
        <v>777</v>
      </c>
      <c r="B1" s="26"/>
      <c r="C1" s="26"/>
      <c r="D1" s="26"/>
      <c r="E1" s="26"/>
      <c r="F1" s="26"/>
      <c r="G1" s="26"/>
    </row>
    <row r="3" spans="1:7" ht="26" x14ac:dyDescent="0.35">
      <c r="A3" s="5"/>
      <c r="B3" s="8" t="s">
        <v>766</v>
      </c>
      <c r="C3" s="8" t="s">
        <v>767</v>
      </c>
      <c r="D3" s="8" t="s">
        <v>778</v>
      </c>
      <c r="E3" s="8"/>
      <c r="F3" s="8"/>
      <c r="G3" s="8"/>
    </row>
    <row r="4" spans="1:7" ht="15.5" x14ac:dyDescent="0.35">
      <c r="A4" s="3" t="s">
        <v>779</v>
      </c>
      <c r="B4" s="3" t="s">
        <v>780</v>
      </c>
      <c r="C4" s="3" t="s">
        <v>509</v>
      </c>
      <c r="D4" s="3" t="s">
        <v>780</v>
      </c>
      <c r="E4" s="3" t="s">
        <v>509</v>
      </c>
      <c r="F4" s="3" t="s">
        <v>780</v>
      </c>
      <c r="G4" s="3" t="s">
        <v>509</v>
      </c>
    </row>
    <row r="5" spans="1:7" x14ac:dyDescent="0.35">
      <c r="A5" s="32" t="s">
        <v>781</v>
      </c>
      <c r="B5" s="26"/>
      <c r="C5" s="26"/>
      <c r="D5" s="26"/>
      <c r="E5" s="26"/>
      <c r="F5" s="26"/>
      <c r="G5" s="26"/>
    </row>
    <row r="6" spans="1:7" x14ac:dyDescent="0.35">
      <c r="A6" s="5" t="s">
        <v>782</v>
      </c>
      <c r="B6" s="8" t="s">
        <v>212</v>
      </c>
      <c r="C6" s="15" t="s">
        <v>321</v>
      </c>
      <c r="D6" s="8" t="s">
        <v>218</v>
      </c>
      <c r="E6" s="16" t="s">
        <v>323</v>
      </c>
      <c r="F6" s="8" t="s">
        <v>240</v>
      </c>
      <c r="G6" s="17" t="s">
        <v>516</v>
      </c>
    </row>
    <row r="7" spans="1:7" x14ac:dyDescent="0.35">
      <c r="A7" s="5" t="s">
        <v>783</v>
      </c>
      <c r="B7" s="8" t="s">
        <v>212</v>
      </c>
      <c r="C7" s="15" t="s">
        <v>321</v>
      </c>
      <c r="D7" s="8" t="s">
        <v>218</v>
      </c>
      <c r="E7" s="16" t="s">
        <v>323</v>
      </c>
      <c r="F7" s="8" t="s">
        <v>218</v>
      </c>
      <c r="G7" s="16" t="s">
        <v>323</v>
      </c>
    </row>
    <row r="8" spans="1:7" x14ac:dyDescent="0.35">
      <c r="A8" s="5" t="s">
        <v>784</v>
      </c>
      <c r="B8" s="8" t="s">
        <v>211</v>
      </c>
      <c r="C8" s="18" t="s">
        <v>686</v>
      </c>
      <c r="D8" s="8" t="s">
        <v>240</v>
      </c>
      <c r="E8" s="17" t="s">
        <v>516</v>
      </c>
      <c r="F8" s="8" t="s">
        <v>240</v>
      </c>
      <c r="G8" s="17" t="s">
        <v>516</v>
      </c>
    </row>
    <row r="9" spans="1:7" x14ac:dyDescent="0.35">
      <c r="A9" s="5" t="s">
        <v>785</v>
      </c>
      <c r="B9" s="8" t="s">
        <v>211</v>
      </c>
      <c r="C9" s="18" t="s">
        <v>686</v>
      </c>
      <c r="D9" s="8" t="s">
        <v>240</v>
      </c>
      <c r="E9" s="17" t="s">
        <v>516</v>
      </c>
      <c r="F9" s="8" t="s">
        <v>240</v>
      </c>
      <c r="G9" s="17" t="s">
        <v>516</v>
      </c>
    </row>
    <row r="10" spans="1:7" x14ac:dyDescent="0.35">
      <c r="A10" s="5" t="s">
        <v>786</v>
      </c>
      <c r="B10" s="8" t="s">
        <v>211</v>
      </c>
      <c r="C10" s="18" t="s">
        <v>686</v>
      </c>
      <c r="D10" s="8" t="s">
        <v>218</v>
      </c>
      <c r="E10" s="16" t="s">
        <v>323</v>
      </c>
      <c r="F10" s="8" t="s">
        <v>218</v>
      </c>
      <c r="G10" s="16" t="s">
        <v>323</v>
      </c>
    </row>
    <row r="11" spans="1:7" x14ac:dyDescent="0.35">
      <c r="A11" s="5" t="s">
        <v>787</v>
      </c>
      <c r="B11" s="8" t="s">
        <v>212</v>
      </c>
      <c r="C11" s="15" t="s">
        <v>321</v>
      </c>
      <c r="D11" s="8" t="s">
        <v>240</v>
      </c>
      <c r="E11" s="17" t="s">
        <v>516</v>
      </c>
      <c r="F11" s="8" t="s">
        <v>240</v>
      </c>
      <c r="G11" s="17" t="s">
        <v>516</v>
      </c>
    </row>
    <row r="12" spans="1:7" x14ac:dyDescent="0.35">
      <c r="A12" s="5" t="s">
        <v>788</v>
      </c>
      <c r="B12" s="8" t="s">
        <v>789</v>
      </c>
      <c r="C12" s="8"/>
      <c r="D12" s="8" t="s">
        <v>790</v>
      </c>
      <c r="E12" s="8"/>
      <c r="F12" s="8" t="s">
        <v>791</v>
      </c>
      <c r="G12" s="8"/>
    </row>
    <row r="13" spans="1:7" x14ac:dyDescent="0.35">
      <c r="A13" s="32" t="s">
        <v>792</v>
      </c>
      <c r="B13" s="26"/>
      <c r="C13" s="26"/>
      <c r="D13" s="26"/>
      <c r="E13" s="26"/>
      <c r="F13" s="26"/>
      <c r="G13" s="26"/>
    </row>
    <row r="14" spans="1:7" x14ac:dyDescent="0.35">
      <c r="A14" s="5" t="s">
        <v>793</v>
      </c>
      <c r="B14" s="8" t="s">
        <v>218</v>
      </c>
      <c r="C14" s="16" t="s">
        <v>323</v>
      </c>
      <c r="D14" s="8" t="s">
        <v>218</v>
      </c>
      <c r="E14" s="16" t="s">
        <v>323</v>
      </c>
      <c r="F14" s="8" t="s">
        <v>218</v>
      </c>
      <c r="G14" s="16" t="s">
        <v>323</v>
      </c>
    </row>
    <row r="15" spans="1:7" x14ac:dyDescent="0.35">
      <c r="A15" s="5" t="s">
        <v>794</v>
      </c>
      <c r="B15" s="8" t="s">
        <v>212</v>
      </c>
      <c r="C15" s="15" t="s">
        <v>321</v>
      </c>
      <c r="D15" s="8" t="s">
        <v>218</v>
      </c>
      <c r="E15" s="16" t="s">
        <v>323</v>
      </c>
      <c r="F15" s="8" t="s">
        <v>218</v>
      </c>
      <c r="G15" s="16" t="s">
        <v>323</v>
      </c>
    </row>
    <row r="16" spans="1:7" x14ac:dyDescent="0.35">
      <c r="A16" s="5" t="s">
        <v>795</v>
      </c>
      <c r="B16" s="8" t="s">
        <v>218</v>
      </c>
      <c r="C16" s="16" t="s">
        <v>323</v>
      </c>
      <c r="D16" s="8" t="s">
        <v>240</v>
      </c>
      <c r="E16" s="17" t="s">
        <v>516</v>
      </c>
      <c r="F16" s="8" t="s">
        <v>240</v>
      </c>
      <c r="G16" s="17" t="s">
        <v>516</v>
      </c>
    </row>
    <row r="17" spans="1:7" x14ac:dyDescent="0.35">
      <c r="A17" s="5" t="s">
        <v>796</v>
      </c>
      <c r="B17" s="8" t="s">
        <v>218</v>
      </c>
      <c r="C17" s="16" t="s">
        <v>323</v>
      </c>
      <c r="D17" s="8" t="s">
        <v>240</v>
      </c>
      <c r="E17" s="17" t="s">
        <v>516</v>
      </c>
      <c r="F17" s="8" t="s">
        <v>240</v>
      </c>
      <c r="G17" s="17" t="s">
        <v>516</v>
      </c>
    </row>
    <row r="18" spans="1:7" x14ac:dyDescent="0.35">
      <c r="A18" s="5" t="s">
        <v>797</v>
      </c>
      <c r="B18" s="8" t="s">
        <v>212</v>
      </c>
      <c r="C18" s="15" t="s">
        <v>321</v>
      </c>
      <c r="D18" s="8" t="s">
        <v>240</v>
      </c>
      <c r="E18" s="17" t="s">
        <v>516</v>
      </c>
      <c r="F18" s="8" t="s">
        <v>240</v>
      </c>
      <c r="G18" s="17" t="s">
        <v>516</v>
      </c>
    </row>
    <row r="19" spans="1:7" x14ac:dyDescent="0.35">
      <c r="A19" s="5" t="s">
        <v>798</v>
      </c>
      <c r="B19" s="8" t="s">
        <v>799</v>
      </c>
      <c r="C19" s="8"/>
      <c r="D19" s="8" t="s">
        <v>800</v>
      </c>
      <c r="E19" s="8"/>
      <c r="F19" s="8" t="s">
        <v>800</v>
      </c>
      <c r="G19" s="8"/>
    </row>
    <row r="20" spans="1:7" x14ac:dyDescent="0.35">
      <c r="A20" s="32" t="s">
        <v>801</v>
      </c>
      <c r="B20" s="26"/>
      <c r="C20" s="26"/>
      <c r="D20" s="26"/>
      <c r="E20" s="26"/>
      <c r="F20" s="26"/>
      <c r="G20" s="26"/>
    </row>
    <row r="21" spans="1:7" x14ac:dyDescent="0.35">
      <c r="A21" s="5" t="s">
        <v>802</v>
      </c>
      <c r="B21" s="8" t="s">
        <v>211</v>
      </c>
      <c r="C21" s="18" t="s">
        <v>686</v>
      </c>
      <c r="D21" s="8" t="s">
        <v>218</v>
      </c>
      <c r="E21" s="16" t="s">
        <v>323</v>
      </c>
      <c r="F21" s="8" t="s">
        <v>218</v>
      </c>
      <c r="G21" s="16" t="s">
        <v>323</v>
      </c>
    </row>
    <row r="22" spans="1:7" x14ac:dyDescent="0.35">
      <c r="A22" s="5" t="s">
        <v>803</v>
      </c>
      <c r="B22" s="8" t="s">
        <v>212</v>
      </c>
      <c r="C22" s="15" t="s">
        <v>321</v>
      </c>
      <c r="D22" s="8" t="s">
        <v>218</v>
      </c>
      <c r="E22" s="16" t="s">
        <v>323</v>
      </c>
      <c r="F22" s="8" t="s">
        <v>218</v>
      </c>
      <c r="G22" s="16" t="s">
        <v>323</v>
      </c>
    </row>
    <row r="23" spans="1:7" x14ac:dyDescent="0.35">
      <c r="A23" s="5" t="s">
        <v>804</v>
      </c>
      <c r="B23" s="8" t="s">
        <v>218</v>
      </c>
      <c r="C23" s="16" t="s">
        <v>323</v>
      </c>
      <c r="D23" s="8" t="s">
        <v>218</v>
      </c>
      <c r="E23" s="16" t="s">
        <v>323</v>
      </c>
      <c r="F23" s="8" t="s">
        <v>218</v>
      </c>
      <c r="G23" s="16" t="s">
        <v>323</v>
      </c>
    </row>
    <row r="24" spans="1:7" x14ac:dyDescent="0.35">
      <c r="A24" s="5" t="s">
        <v>805</v>
      </c>
      <c r="B24" s="8" t="s">
        <v>240</v>
      </c>
      <c r="C24" s="17" t="s">
        <v>516</v>
      </c>
      <c r="D24" s="8" t="s">
        <v>212</v>
      </c>
      <c r="E24" s="15" t="s">
        <v>321</v>
      </c>
      <c r="F24" s="8" t="s">
        <v>212</v>
      </c>
      <c r="G24" s="15" t="s">
        <v>321</v>
      </c>
    </row>
    <row r="25" spans="1:7" x14ac:dyDescent="0.35">
      <c r="A25" s="5" t="s">
        <v>806</v>
      </c>
      <c r="B25" s="8" t="s">
        <v>211</v>
      </c>
      <c r="C25" s="18" t="s">
        <v>686</v>
      </c>
      <c r="D25" s="8" t="s">
        <v>218</v>
      </c>
      <c r="E25" s="16" t="s">
        <v>323</v>
      </c>
      <c r="F25" s="8" t="s">
        <v>218</v>
      </c>
      <c r="G25" s="16" t="s">
        <v>323</v>
      </c>
    </row>
    <row r="26" spans="1:7" x14ac:dyDescent="0.35">
      <c r="A26" s="5" t="s">
        <v>807</v>
      </c>
      <c r="B26" s="8" t="s">
        <v>808</v>
      </c>
      <c r="C26" s="8"/>
      <c r="D26" s="8" t="s">
        <v>809</v>
      </c>
      <c r="E26" s="8"/>
      <c r="F26" s="8" t="s">
        <v>809</v>
      </c>
      <c r="G26" s="8"/>
    </row>
    <row r="27" spans="1:7" x14ac:dyDescent="0.35">
      <c r="A27" s="32" t="s">
        <v>810</v>
      </c>
      <c r="B27" s="26"/>
      <c r="C27" s="26"/>
      <c r="D27" s="26"/>
      <c r="E27" s="26"/>
      <c r="F27" s="26"/>
      <c r="G27" s="26"/>
    </row>
    <row r="28" spans="1:7" x14ac:dyDescent="0.35">
      <c r="A28" s="5" t="s">
        <v>811</v>
      </c>
      <c r="B28" s="8" t="s">
        <v>211</v>
      </c>
      <c r="C28" s="18" t="s">
        <v>686</v>
      </c>
      <c r="D28" s="8" t="s">
        <v>240</v>
      </c>
      <c r="E28" s="17" t="s">
        <v>516</v>
      </c>
      <c r="F28" s="8" t="s">
        <v>240</v>
      </c>
      <c r="G28" s="17" t="s">
        <v>516</v>
      </c>
    </row>
    <row r="29" spans="1:7" x14ac:dyDescent="0.35">
      <c r="A29" s="5" t="s">
        <v>812</v>
      </c>
      <c r="B29" s="8" t="s">
        <v>212</v>
      </c>
      <c r="C29" s="15" t="s">
        <v>321</v>
      </c>
      <c r="D29" s="8" t="s">
        <v>259</v>
      </c>
      <c r="E29" s="19" t="s">
        <v>813</v>
      </c>
      <c r="F29" s="8" t="s">
        <v>259</v>
      </c>
      <c r="G29" s="19" t="s">
        <v>813</v>
      </c>
    </row>
    <row r="30" spans="1:7" x14ac:dyDescent="0.35">
      <c r="A30" s="5" t="s">
        <v>814</v>
      </c>
      <c r="B30" s="8" t="s">
        <v>211</v>
      </c>
      <c r="C30" s="18" t="s">
        <v>686</v>
      </c>
      <c r="D30" s="8" t="s">
        <v>218</v>
      </c>
      <c r="E30" s="16" t="s">
        <v>323</v>
      </c>
      <c r="F30" s="8" t="s">
        <v>240</v>
      </c>
      <c r="G30" s="17" t="s">
        <v>516</v>
      </c>
    </row>
    <row r="31" spans="1:7" x14ac:dyDescent="0.35">
      <c r="A31" s="5" t="s">
        <v>815</v>
      </c>
      <c r="B31" s="8" t="s">
        <v>212</v>
      </c>
      <c r="C31" s="15" t="s">
        <v>321</v>
      </c>
      <c r="D31" s="8" t="s">
        <v>240</v>
      </c>
      <c r="E31" s="17" t="s">
        <v>516</v>
      </c>
      <c r="F31" s="8" t="s">
        <v>240</v>
      </c>
      <c r="G31" s="17" t="s">
        <v>516</v>
      </c>
    </row>
    <row r="32" spans="1:7" x14ac:dyDescent="0.35">
      <c r="A32" s="5" t="s">
        <v>704</v>
      </c>
      <c r="B32" s="8" t="s">
        <v>211</v>
      </c>
      <c r="C32" s="18" t="s">
        <v>686</v>
      </c>
      <c r="D32" s="8" t="s">
        <v>218</v>
      </c>
      <c r="E32" s="16" t="s">
        <v>323</v>
      </c>
      <c r="F32" s="8" t="s">
        <v>240</v>
      </c>
      <c r="G32" s="17" t="s">
        <v>516</v>
      </c>
    </row>
    <row r="33" spans="1:7" x14ac:dyDescent="0.35">
      <c r="A33" s="5" t="s">
        <v>816</v>
      </c>
      <c r="B33" s="8" t="s">
        <v>817</v>
      </c>
      <c r="C33" s="8"/>
      <c r="D33" s="8" t="s">
        <v>818</v>
      </c>
      <c r="E33" s="8"/>
      <c r="F33" s="8" t="s">
        <v>191</v>
      </c>
      <c r="G33" s="8"/>
    </row>
    <row r="34" spans="1:7" x14ac:dyDescent="0.35">
      <c r="A34" s="32" t="s">
        <v>819</v>
      </c>
      <c r="B34" s="26"/>
      <c r="C34" s="26"/>
      <c r="D34" s="26"/>
      <c r="E34" s="26"/>
      <c r="F34" s="26"/>
      <c r="G34" s="26"/>
    </row>
    <row r="35" spans="1:7" x14ac:dyDescent="0.35">
      <c r="A35" s="5" t="s">
        <v>820</v>
      </c>
      <c r="B35" s="8" t="s">
        <v>211</v>
      </c>
      <c r="C35" s="18" t="s">
        <v>686</v>
      </c>
      <c r="D35" s="8" t="s">
        <v>240</v>
      </c>
      <c r="E35" s="17" t="s">
        <v>516</v>
      </c>
      <c r="F35" s="8" t="s">
        <v>240</v>
      </c>
      <c r="G35" s="17" t="s">
        <v>516</v>
      </c>
    </row>
    <row r="36" spans="1:7" x14ac:dyDescent="0.35">
      <c r="A36" s="5" t="s">
        <v>821</v>
      </c>
      <c r="B36" s="8" t="s">
        <v>212</v>
      </c>
      <c r="C36" s="15" t="s">
        <v>321</v>
      </c>
      <c r="D36" s="8" t="s">
        <v>240</v>
      </c>
      <c r="E36" s="17" t="s">
        <v>516</v>
      </c>
      <c r="F36" s="8" t="s">
        <v>240</v>
      </c>
      <c r="G36" s="17" t="s">
        <v>516</v>
      </c>
    </row>
    <row r="37" spans="1:7" x14ac:dyDescent="0.35">
      <c r="A37" s="5" t="s">
        <v>822</v>
      </c>
      <c r="B37" s="8" t="s">
        <v>212</v>
      </c>
      <c r="C37" s="15" t="s">
        <v>321</v>
      </c>
      <c r="D37" s="8" t="s">
        <v>240</v>
      </c>
      <c r="E37" s="17" t="s">
        <v>516</v>
      </c>
      <c r="F37" s="8" t="s">
        <v>240</v>
      </c>
      <c r="G37" s="17" t="s">
        <v>516</v>
      </c>
    </row>
    <row r="38" spans="1:7" x14ac:dyDescent="0.35">
      <c r="A38" s="5" t="s">
        <v>246</v>
      </c>
      <c r="B38" s="8" t="s">
        <v>212</v>
      </c>
      <c r="C38" s="15" t="s">
        <v>321</v>
      </c>
      <c r="D38" s="8" t="s">
        <v>240</v>
      </c>
      <c r="E38" s="17" t="s">
        <v>516</v>
      </c>
      <c r="F38" s="8" t="s">
        <v>240</v>
      </c>
      <c r="G38" s="17" t="s">
        <v>516</v>
      </c>
    </row>
    <row r="39" spans="1:7" x14ac:dyDescent="0.35">
      <c r="A39" s="5" t="s">
        <v>823</v>
      </c>
      <c r="B39" s="8" t="s">
        <v>211</v>
      </c>
      <c r="C39" s="18" t="s">
        <v>686</v>
      </c>
      <c r="D39" s="8" t="s">
        <v>259</v>
      </c>
      <c r="E39" s="19" t="s">
        <v>813</v>
      </c>
      <c r="F39" s="8" t="s">
        <v>259</v>
      </c>
      <c r="G39" s="19" t="s">
        <v>813</v>
      </c>
    </row>
    <row r="40" spans="1:7" x14ac:dyDescent="0.35">
      <c r="A40" s="5" t="s">
        <v>824</v>
      </c>
      <c r="B40" s="8" t="s">
        <v>825</v>
      </c>
      <c r="C40" s="8"/>
      <c r="D40" s="8" t="s">
        <v>191</v>
      </c>
      <c r="E40" s="8"/>
      <c r="F40" s="8" t="s">
        <v>191</v>
      </c>
      <c r="G40" s="8"/>
    </row>
    <row r="41" spans="1:7" x14ac:dyDescent="0.35">
      <c r="A41" s="5"/>
      <c r="B41" s="8"/>
      <c r="C41" s="8"/>
      <c r="D41" s="8"/>
      <c r="E41" s="8"/>
      <c r="F41" s="8"/>
      <c r="G41" s="8"/>
    </row>
    <row r="42" spans="1:7" x14ac:dyDescent="0.35">
      <c r="A42" s="20" t="s">
        <v>826</v>
      </c>
      <c r="B42" s="11" t="s">
        <v>827</v>
      </c>
      <c r="C42" s="11" t="s">
        <v>686</v>
      </c>
      <c r="D42" s="11" t="s">
        <v>828</v>
      </c>
      <c r="E42" s="11" t="s">
        <v>323</v>
      </c>
      <c r="F42" s="11" t="s">
        <v>829</v>
      </c>
      <c r="G42" s="11" t="s">
        <v>323</v>
      </c>
    </row>
    <row r="43" spans="1:7" x14ac:dyDescent="0.35">
      <c r="A43" s="20" t="s">
        <v>830</v>
      </c>
      <c r="B43" s="11" t="s">
        <v>831</v>
      </c>
      <c r="C43" s="11" t="s">
        <v>832</v>
      </c>
      <c r="D43" s="11" t="s">
        <v>833</v>
      </c>
      <c r="E43" s="11" t="s">
        <v>834</v>
      </c>
      <c r="F43" s="11" t="s">
        <v>835</v>
      </c>
      <c r="G43" s="11" t="s">
        <v>834</v>
      </c>
    </row>
    <row r="44" spans="1:7" x14ac:dyDescent="0.35">
      <c r="A44" s="5"/>
      <c r="B44" s="8"/>
      <c r="C44" s="8"/>
      <c r="D44" s="8"/>
      <c r="E44" s="8"/>
      <c r="F44" s="8"/>
      <c r="G44" s="8"/>
    </row>
    <row r="45" spans="1:7" x14ac:dyDescent="0.35">
      <c r="A45" s="32" t="s">
        <v>836</v>
      </c>
      <c r="B45" s="26"/>
      <c r="C45" s="26"/>
      <c r="D45" s="26"/>
      <c r="E45" s="26"/>
      <c r="F45" s="26"/>
      <c r="G45" s="26"/>
    </row>
    <row r="46" spans="1:7" x14ac:dyDescent="0.35">
      <c r="A46" s="5" t="s">
        <v>837</v>
      </c>
      <c r="B46" s="8" t="s">
        <v>838</v>
      </c>
      <c r="C46" s="8" t="s">
        <v>839</v>
      </c>
      <c r="D46" s="8" t="s">
        <v>589</v>
      </c>
      <c r="E46" s="8"/>
      <c r="F46" s="8"/>
      <c r="G46" s="8"/>
    </row>
    <row r="47" spans="1:7" ht="39" x14ac:dyDescent="0.35">
      <c r="A47" s="5" t="s">
        <v>840</v>
      </c>
      <c r="B47" s="18" t="s">
        <v>686</v>
      </c>
      <c r="C47" s="8" t="s">
        <v>319</v>
      </c>
      <c r="D47" s="8" t="s">
        <v>841</v>
      </c>
      <c r="E47" s="8"/>
      <c r="F47" s="8"/>
      <c r="G47" s="8"/>
    </row>
    <row r="48" spans="1:7" ht="39" x14ac:dyDescent="0.35">
      <c r="A48" s="5" t="s">
        <v>842</v>
      </c>
      <c r="B48" s="15" t="s">
        <v>321</v>
      </c>
      <c r="C48" s="8" t="s">
        <v>843</v>
      </c>
      <c r="D48" s="8" t="s">
        <v>844</v>
      </c>
      <c r="E48" s="8"/>
      <c r="F48" s="8"/>
      <c r="G48" s="8"/>
    </row>
    <row r="49" spans="1:7" ht="39" x14ac:dyDescent="0.35">
      <c r="A49" s="5" t="s">
        <v>845</v>
      </c>
      <c r="B49" s="16" t="s">
        <v>323</v>
      </c>
      <c r="C49" s="16" t="s">
        <v>679</v>
      </c>
      <c r="D49" s="8" t="s">
        <v>846</v>
      </c>
      <c r="E49" s="8"/>
      <c r="F49" s="8"/>
      <c r="G49" s="8"/>
    </row>
    <row r="50" spans="1:7" ht="39" x14ac:dyDescent="0.35">
      <c r="A50" s="5" t="s">
        <v>847</v>
      </c>
      <c r="B50" s="17" t="s">
        <v>516</v>
      </c>
      <c r="C50" s="17" t="s">
        <v>848</v>
      </c>
      <c r="D50" s="8" t="s">
        <v>849</v>
      </c>
      <c r="E50" s="8"/>
      <c r="F50" s="8"/>
      <c r="G50" s="8"/>
    </row>
    <row r="51" spans="1:7" ht="26" x14ac:dyDescent="0.35">
      <c r="A51" s="5" t="s">
        <v>850</v>
      </c>
      <c r="B51" s="19" t="s">
        <v>813</v>
      </c>
      <c r="C51" s="19" t="s">
        <v>851</v>
      </c>
      <c r="D51" s="8" t="s">
        <v>852</v>
      </c>
      <c r="E51" s="8"/>
      <c r="F51" s="8"/>
      <c r="G51" s="8"/>
    </row>
    <row r="52" spans="1:7" x14ac:dyDescent="0.35">
      <c r="A52" s="5"/>
      <c r="B52" s="8"/>
      <c r="C52" s="8"/>
      <c r="D52" s="8"/>
      <c r="E52" s="8"/>
      <c r="F52" s="8"/>
      <c r="G52" s="8"/>
    </row>
    <row r="53" spans="1:7" x14ac:dyDescent="0.35">
      <c r="A53" s="32" t="s">
        <v>853</v>
      </c>
      <c r="B53" s="26"/>
      <c r="C53" s="26"/>
      <c r="D53" s="26"/>
      <c r="E53" s="26"/>
      <c r="F53" s="26"/>
      <c r="G53" s="26"/>
    </row>
    <row r="54" spans="1:7" x14ac:dyDescent="0.35">
      <c r="A54" s="5"/>
      <c r="B54" s="8" t="s">
        <v>854</v>
      </c>
      <c r="C54" s="8" t="s">
        <v>855</v>
      </c>
      <c r="D54" s="8" t="s">
        <v>856</v>
      </c>
      <c r="E54" s="8"/>
      <c r="F54" s="8"/>
      <c r="G54" s="8"/>
    </row>
    <row r="55" spans="1:7" ht="91" x14ac:dyDescent="0.35">
      <c r="A55" s="5" t="s">
        <v>857</v>
      </c>
      <c r="B55" s="8" t="s">
        <v>858</v>
      </c>
      <c r="C55" s="8" t="s">
        <v>859</v>
      </c>
      <c r="D55" s="8" t="s">
        <v>860</v>
      </c>
      <c r="E55" s="8"/>
      <c r="F55" s="8"/>
      <c r="G55" s="8"/>
    </row>
    <row r="56" spans="1:7" ht="104" x14ac:dyDescent="0.35">
      <c r="A56" s="5" t="s">
        <v>861</v>
      </c>
      <c r="B56" s="8" t="s">
        <v>862</v>
      </c>
      <c r="C56" s="8" t="s">
        <v>863</v>
      </c>
      <c r="D56" s="8" t="s">
        <v>864</v>
      </c>
      <c r="E56" s="8"/>
      <c r="F56" s="8"/>
      <c r="G56" s="8"/>
    </row>
  </sheetData>
  <mergeCells count="8">
    <mergeCell ref="A13:G13"/>
    <mergeCell ref="A1:G1"/>
    <mergeCell ref="A27:G27"/>
    <mergeCell ref="A45:G45"/>
    <mergeCell ref="A53:G53"/>
    <mergeCell ref="A34:G34"/>
    <mergeCell ref="A20:G20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5"/>
  <sheetViews>
    <sheetView workbookViewId="0"/>
  </sheetViews>
  <sheetFormatPr defaultRowHeight="14.5" x14ac:dyDescent="0.35"/>
  <cols>
    <col min="1" max="1" width="25" customWidth="1"/>
    <col min="2" max="4" width="35" customWidth="1"/>
  </cols>
  <sheetData>
    <row r="1" spans="1:4" x14ac:dyDescent="0.35">
      <c r="A1" s="29" t="s">
        <v>865</v>
      </c>
      <c r="B1" s="26"/>
      <c r="C1" s="26"/>
      <c r="D1" s="26"/>
    </row>
    <row r="3" spans="1:4" x14ac:dyDescent="0.35">
      <c r="A3" s="34" t="s">
        <v>866</v>
      </c>
      <c r="B3" s="26"/>
      <c r="C3" s="26"/>
      <c r="D3" s="26"/>
    </row>
    <row r="4" spans="1:4" ht="15.5" x14ac:dyDescent="0.35">
      <c r="A4" s="3" t="s">
        <v>867</v>
      </c>
      <c r="B4" s="3" t="s">
        <v>868</v>
      </c>
      <c r="C4" s="3" t="s">
        <v>869</v>
      </c>
      <c r="D4" s="3" t="s">
        <v>870</v>
      </c>
    </row>
    <row r="5" spans="1:4" x14ac:dyDescent="0.35">
      <c r="A5" s="21" t="s">
        <v>871</v>
      </c>
      <c r="B5" s="22" t="s">
        <v>872</v>
      </c>
      <c r="C5" s="23" t="s">
        <v>873</v>
      </c>
      <c r="D5" s="24" t="s">
        <v>874</v>
      </c>
    </row>
    <row r="6" spans="1:4" x14ac:dyDescent="0.35">
      <c r="A6" s="21" t="s">
        <v>875</v>
      </c>
      <c r="B6" s="22" t="s">
        <v>876</v>
      </c>
      <c r="C6" s="23" t="s">
        <v>877</v>
      </c>
      <c r="D6" s="24" t="s">
        <v>878</v>
      </c>
    </row>
    <row r="7" spans="1:4" x14ac:dyDescent="0.35">
      <c r="A7" s="21" t="s">
        <v>879</v>
      </c>
      <c r="B7" s="22" t="s">
        <v>880</v>
      </c>
      <c r="C7" s="23" t="s">
        <v>881</v>
      </c>
      <c r="D7" s="24" t="s">
        <v>882</v>
      </c>
    </row>
    <row r="8" spans="1:4" x14ac:dyDescent="0.35">
      <c r="A8" s="21" t="s">
        <v>883</v>
      </c>
      <c r="B8" s="22" t="s">
        <v>884</v>
      </c>
      <c r="C8" s="23" t="s">
        <v>885</v>
      </c>
      <c r="D8" s="24" t="s">
        <v>886</v>
      </c>
    </row>
    <row r="9" spans="1:4" x14ac:dyDescent="0.35">
      <c r="A9" s="21" t="s">
        <v>887</v>
      </c>
      <c r="B9" s="22" t="s">
        <v>888</v>
      </c>
      <c r="C9" s="23" t="s">
        <v>889</v>
      </c>
      <c r="D9" s="24" t="s">
        <v>890</v>
      </c>
    </row>
    <row r="10" spans="1:4" x14ac:dyDescent="0.35">
      <c r="A10" s="21" t="s">
        <v>891</v>
      </c>
      <c r="B10" s="22" t="s">
        <v>892</v>
      </c>
      <c r="C10" s="23" t="s">
        <v>893</v>
      </c>
      <c r="D10" s="24" t="s">
        <v>894</v>
      </c>
    </row>
    <row r="11" spans="1:4" x14ac:dyDescent="0.35">
      <c r="A11" s="21" t="s">
        <v>895</v>
      </c>
      <c r="B11" s="22" t="s">
        <v>896</v>
      </c>
      <c r="C11" s="23" t="s">
        <v>897</v>
      </c>
      <c r="D11" s="24" t="s">
        <v>898</v>
      </c>
    </row>
    <row r="12" spans="1:4" x14ac:dyDescent="0.35">
      <c r="A12" s="21" t="s">
        <v>899</v>
      </c>
      <c r="B12" s="22" t="s">
        <v>900</v>
      </c>
      <c r="C12" s="23" t="s">
        <v>901</v>
      </c>
      <c r="D12" s="24" t="s">
        <v>902</v>
      </c>
    </row>
    <row r="13" spans="1:4" x14ac:dyDescent="0.35">
      <c r="A13" s="21"/>
      <c r="B13" s="22"/>
      <c r="C13" s="23"/>
      <c r="D13" s="24"/>
    </row>
    <row r="14" spans="1:4" x14ac:dyDescent="0.35">
      <c r="A14" s="21" t="s">
        <v>903</v>
      </c>
      <c r="B14" s="22" t="s">
        <v>904</v>
      </c>
      <c r="C14" s="23" t="s">
        <v>905</v>
      </c>
      <c r="D14" s="24" t="s">
        <v>906</v>
      </c>
    </row>
    <row r="15" spans="1:4" ht="52" x14ac:dyDescent="0.35">
      <c r="A15" s="21" t="s">
        <v>907</v>
      </c>
      <c r="B15" s="22" t="s">
        <v>908</v>
      </c>
      <c r="C15" s="23" t="s">
        <v>909</v>
      </c>
      <c r="D15" s="24" t="s">
        <v>910</v>
      </c>
    </row>
    <row r="18" spans="1:4" x14ac:dyDescent="0.35">
      <c r="A18" s="34" t="s">
        <v>911</v>
      </c>
      <c r="B18" s="26"/>
      <c r="C18" s="26"/>
      <c r="D18" s="26"/>
    </row>
    <row r="19" spans="1:4" ht="15.5" x14ac:dyDescent="0.35">
      <c r="A19" s="3" t="s">
        <v>867</v>
      </c>
      <c r="B19" s="3" t="s">
        <v>868</v>
      </c>
      <c r="C19" s="3" t="s">
        <v>869</v>
      </c>
      <c r="D19" s="3" t="s">
        <v>870</v>
      </c>
    </row>
    <row r="20" spans="1:4" x14ac:dyDescent="0.35">
      <c r="A20" s="21" t="s">
        <v>912</v>
      </c>
      <c r="B20" s="22" t="s">
        <v>913</v>
      </c>
      <c r="C20" s="23" t="s">
        <v>914</v>
      </c>
      <c r="D20" s="24" t="s">
        <v>915</v>
      </c>
    </row>
    <row r="21" spans="1:4" x14ac:dyDescent="0.35">
      <c r="A21" s="21" t="s">
        <v>916</v>
      </c>
      <c r="B21" s="22" t="s">
        <v>917</v>
      </c>
      <c r="C21" s="23" t="s">
        <v>918</v>
      </c>
      <c r="D21" s="24" t="s">
        <v>919</v>
      </c>
    </row>
    <row r="22" spans="1:4" x14ac:dyDescent="0.35">
      <c r="A22" s="21" t="s">
        <v>920</v>
      </c>
      <c r="B22" s="22" t="s">
        <v>921</v>
      </c>
      <c r="C22" s="23" t="s">
        <v>922</v>
      </c>
      <c r="D22" s="24" t="s">
        <v>923</v>
      </c>
    </row>
    <row r="23" spans="1:4" x14ac:dyDescent="0.35">
      <c r="A23" s="21" t="s">
        <v>924</v>
      </c>
      <c r="B23" s="22" t="s">
        <v>925</v>
      </c>
      <c r="C23" s="23" t="s">
        <v>926</v>
      </c>
      <c r="D23" s="24" t="s">
        <v>927</v>
      </c>
    </row>
    <row r="24" spans="1:4" x14ac:dyDescent="0.35">
      <c r="A24" s="21" t="s">
        <v>928</v>
      </c>
      <c r="B24" s="22" t="s">
        <v>929</v>
      </c>
      <c r="C24" s="23" t="s">
        <v>930</v>
      </c>
      <c r="D24" s="24" t="s">
        <v>931</v>
      </c>
    </row>
    <row r="25" spans="1:4" ht="26" x14ac:dyDescent="0.35">
      <c r="A25" s="21" t="s">
        <v>932</v>
      </c>
      <c r="B25" s="22" t="s">
        <v>933</v>
      </c>
      <c r="C25" s="23" t="s">
        <v>934</v>
      </c>
      <c r="D25" s="24" t="s">
        <v>935</v>
      </c>
    </row>
    <row r="26" spans="1:4" x14ac:dyDescent="0.35">
      <c r="A26" s="21" t="s">
        <v>936</v>
      </c>
      <c r="B26" s="22" t="s">
        <v>937</v>
      </c>
      <c r="C26" s="23" t="s">
        <v>938</v>
      </c>
      <c r="D26" s="24" t="s">
        <v>939</v>
      </c>
    </row>
    <row r="27" spans="1:4" x14ac:dyDescent="0.35">
      <c r="A27" s="21" t="s">
        <v>940</v>
      </c>
      <c r="B27" s="22" t="s">
        <v>941</v>
      </c>
      <c r="C27" s="23" t="s">
        <v>942</v>
      </c>
      <c r="D27" s="24" t="s">
        <v>943</v>
      </c>
    </row>
    <row r="28" spans="1:4" x14ac:dyDescent="0.35">
      <c r="A28" s="21"/>
      <c r="B28" s="22"/>
      <c r="C28" s="23"/>
      <c r="D28" s="24"/>
    </row>
    <row r="29" spans="1:4" x14ac:dyDescent="0.35">
      <c r="A29" s="21" t="s">
        <v>903</v>
      </c>
      <c r="B29" s="22" t="s">
        <v>904</v>
      </c>
      <c r="C29" s="23" t="s">
        <v>905</v>
      </c>
      <c r="D29" s="24" t="s">
        <v>906</v>
      </c>
    </row>
    <row r="30" spans="1:4" ht="52" x14ac:dyDescent="0.35">
      <c r="A30" s="21" t="s">
        <v>944</v>
      </c>
      <c r="B30" s="22" t="s">
        <v>945</v>
      </c>
      <c r="C30" s="23" t="s">
        <v>946</v>
      </c>
      <c r="D30" s="24" t="s">
        <v>947</v>
      </c>
    </row>
    <row r="33" spans="1:4" x14ac:dyDescent="0.35">
      <c r="A33" s="34" t="s">
        <v>948</v>
      </c>
      <c r="B33" s="26"/>
      <c r="C33" s="26"/>
      <c r="D33" s="26"/>
    </row>
    <row r="34" spans="1:4" ht="15.5" x14ac:dyDescent="0.35">
      <c r="A34" s="3" t="s">
        <v>867</v>
      </c>
      <c r="B34" s="3" t="s">
        <v>868</v>
      </c>
      <c r="C34" s="3" t="s">
        <v>869</v>
      </c>
      <c r="D34" s="3" t="s">
        <v>870</v>
      </c>
    </row>
    <row r="35" spans="1:4" x14ac:dyDescent="0.35">
      <c r="A35" s="21" t="s">
        <v>949</v>
      </c>
      <c r="B35" s="22" t="s">
        <v>950</v>
      </c>
      <c r="C35" s="23" t="s">
        <v>951</v>
      </c>
      <c r="D35" s="24" t="s">
        <v>952</v>
      </c>
    </row>
    <row r="36" spans="1:4" x14ac:dyDescent="0.35">
      <c r="A36" s="21" t="s">
        <v>953</v>
      </c>
      <c r="B36" s="22" t="s">
        <v>954</v>
      </c>
      <c r="C36" s="23" t="s">
        <v>955</v>
      </c>
      <c r="D36" s="24" t="s">
        <v>956</v>
      </c>
    </row>
    <row r="37" spans="1:4" x14ac:dyDescent="0.35">
      <c r="A37" s="21" t="s">
        <v>957</v>
      </c>
      <c r="B37" s="22" t="s">
        <v>958</v>
      </c>
      <c r="C37" s="23" t="s">
        <v>959</v>
      </c>
      <c r="D37" s="24" t="s">
        <v>960</v>
      </c>
    </row>
    <row r="38" spans="1:4" ht="26" x14ac:dyDescent="0.35">
      <c r="A38" s="21" t="s">
        <v>961</v>
      </c>
      <c r="B38" s="22" t="s">
        <v>962</v>
      </c>
      <c r="C38" s="23" t="s">
        <v>963</v>
      </c>
      <c r="D38" s="24" t="s">
        <v>964</v>
      </c>
    </row>
    <row r="39" spans="1:4" x14ac:dyDescent="0.35">
      <c r="A39" s="21" t="s">
        <v>965</v>
      </c>
      <c r="B39" s="22" t="s">
        <v>966</v>
      </c>
      <c r="C39" s="23" t="s">
        <v>967</v>
      </c>
      <c r="D39" s="24" t="s">
        <v>968</v>
      </c>
    </row>
    <row r="40" spans="1:4" x14ac:dyDescent="0.35">
      <c r="A40" s="21" t="s">
        <v>969</v>
      </c>
      <c r="B40" s="22" t="s">
        <v>970</v>
      </c>
      <c r="C40" s="23" t="s">
        <v>971</v>
      </c>
      <c r="D40" s="24" t="s">
        <v>972</v>
      </c>
    </row>
    <row r="41" spans="1:4" x14ac:dyDescent="0.35">
      <c r="A41" s="21" t="s">
        <v>973</v>
      </c>
      <c r="B41" s="22" t="s">
        <v>974</v>
      </c>
      <c r="C41" s="23" t="s">
        <v>975</v>
      </c>
      <c r="D41" s="24" t="s">
        <v>976</v>
      </c>
    </row>
    <row r="42" spans="1:4" x14ac:dyDescent="0.35">
      <c r="A42" s="21" t="s">
        <v>977</v>
      </c>
      <c r="B42" s="22" t="s">
        <v>978</v>
      </c>
      <c r="C42" s="23" t="s">
        <v>979</v>
      </c>
      <c r="D42" s="24" t="s">
        <v>980</v>
      </c>
    </row>
    <row r="43" spans="1:4" x14ac:dyDescent="0.35">
      <c r="A43" s="21"/>
      <c r="B43" s="22"/>
      <c r="C43" s="23"/>
      <c r="D43" s="24"/>
    </row>
    <row r="44" spans="1:4" x14ac:dyDescent="0.35">
      <c r="A44" s="21" t="s">
        <v>903</v>
      </c>
      <c r="B44" s="22" t="s">
        <v>904</v>
      </c>
      <c r="C44" s="23" t="s">
        <v>905</v>
      </c>
      <c r="D44" s="24" t="s">
        <v>906</v>
      </c>
    </row>
    <row r="45" spans="1:4" ht="52" x14ac:dyDescent="0.35">
      <c r="A45" s="21" t="s">
        <v>981</v>
      </c>
      <c r="B45" s="22" t="s">
        <v>982</v>
      </c>
      <c r="C45" s="23" t="s">
        <v>983</v>
      </c>
      <c r="D45" s="24" t="s">
        <v>984</v>
      </c>
    </row>
    <row r="48" spans="1:4" x14ac:dyDescent="0.35">
      <c r="A48" s="35" t="s">
        <v>985</v>
      </c>
      <c r="B48" s="26"/>
      <c r="C48" s="26"/>
      <c r="D48" s="26"/>
    </row>
    <row r="49" spans="1:4" ht="15.5" x14ac:dyDescent="0.35">
      <c r="A49" s="3" t="s">
        <v>986</v>
      </c>
      <c r="B49" s="3" t="s">
        <v>854</v>
      </c>
      <c r="C49" s="3" t="s">
        <v>855</v>
      </c>
      <c r="D49" s="3" t="s">
        <v>856</v>
      </c>
    </row>
    <row r="50" spans="1:4" x14ac:dyDescent="0.35">
      <c r="A50" s="8" t="s">
        <v>987</v>
      </c>
      <c r="B50" s="8" t="s">
        <v>988</v>
      </c>
      <c r="C50" s="8" t="s">
        <v>989</v>
      </c>
      <c r="D50" s="8" t="s">
        <v>989</v>
      </c>
    </row>
    <row r="51" spans="1:4" x14ac:dyDescent="0.35">
      <c r="A51" s="8" t="s">
        <v>990</v>
      </c>
      <c r="B51" s="8" t="s">
        <v>686</v>
      </c>
      <c r="C51" s="8" t="s">
        <v>323</v>
      </c>
      <c r="D51" s="8" t="s">
        <v>516</v>
      </c>
    </row>
    <row r="52" spans="1:4" x14ac:dyDescent="0.35">
      <c r="A52" s="8" t="s">
        <v>991</v>
      </c>
      <c r="B52" s="8" t="s">
        <v>321</v>
      </c>
      <c r="C52" s="8" t="s">
        <v>516</v>
      </c>
      <c r="D52" s="8" t="s">
        <v>516</v>
      </c>
    </row>
    <row r="53" spans="1:4" x14ac:dyDescent="0.35">
      <c r="A53" s="8" t="s">
        <v>992</v>
      </c>
      <c r="B53" s="8" t="s">
        <v>516</v>
      </c>
      <c r="C53" s="8" t="s">
        <v>321</v>
      </c>
      <c r="D53" s="8" t="s">
        <v>323</v>
      </c>
    </row>
    <row r="54" spans="1:4" x14ac:dyDescent="0.35">
      <c r="A54" s="8" t="s">
        <v>993</v>
      </c>
      <c r="B54" s="8" t="s">
        <v>994</v>
      </c>
      <c r="C54" s="8" t="s">
        <v>995</v>
      </c>
      <c r="D54" s="8" t="s">
        <v>996</v>
      </c>
    </row>
    <row r="55" spans="1:4" x14ac:dyDescent="0.35">
      <c r="A55" s="8" t="s">
        <v>997</v>
      </c>
      <c r="B55" s="8" t="s">
        <v>998</v>
      </c>
      <c r="C55" s="8" t="s">
        <v>999</v>
      </c>
      <c r="D55" s="8" t="s">
        <v>1000</v>
      </c>
    </row>
  </sheetData>
  <mergeCells count="5">
    <mergeCell ref="A1:D1"/>
    <mergeCell ref="A18:D18"/>
    <mergeCell ref="A48:D48"/>
    <mergeCell ref="A3:D3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1-Process Overview</vt:lpstr>
      <vt:lpstr>2-Compliance Checklist</vt:lpstr>
      <vt:lpstr>3-Evaluation Matrix</vt:lpstr>
      <vt:lpstr>4-Demo Evaluation</vt:lpstr>
      <vt:lpstr>5-Reference Checks</vt:lpstr>
      <vt:lpstr>6-BAFO Template</vt:lpstr>
      <vt:lpstr>7-Final Recommendation</vt:lpstr>
      <vt:lpstr>8-Lessons Learned</vt:lpstr>
      <vt:lpstr>9-Build vs Buy vs Rent</vt:lpstr>
      <vt:lpstr>10-Complexity Analysis</vt:lpstr>
      <vt:lpstr>11-SWOT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nithin.tk@hotmail.com</dc:creator>
  <cp:lastModifiedBy>Nithin Mohan Thattiot Kadumberi</cp:lastModifiedBy>
  <dcterms:created xsi:type="dcterms:W3CDTF">2025-11-30T11:42:56Z</dcterms:created>
  <dcterms:modified xsi:type="dcterms:W3CDTF">2025-11-30T11:46:42Z</dcterms:modified>
</cp:coreProperties>
</file>